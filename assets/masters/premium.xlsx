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Unified Dashboard" sheetId="2" r:id="rId6"/>
    <sheet state="visible" name="Budget Input" sheetId="3" r:id="rId7"/>
    <sheet state="visible" name="Feedback" sheetId="4" r:id="rId8"/>
    <sheet state="hidden" name="Lists" sheetId="5" r:id="rId9"/>
    <sheet state="visible" name="Debt Payoff" sheetId="6" r:id="rId10"/>
    <sheet state="visible" name="Interest Saved" sheetId="7" r:id="rId11"/>
    <sheet state="visible" name="Net Worth" sheetId="8" r:id="rId12"/>
    <sheet state="visible" name="Emergency Fund" sheetId="9" r:id="rId13"/>
    <sheet state="visible" name="Mortgage Estimator" sheetId="10" r:id="rId14"/>
    <sheet state="visible" name="Annual Review" sheetId="11" r:id="rId15"/>
    <sheet state="visible" name="License" sheetId="12" r:id="rId16"/>
  </sheets>
  <definedNames/>
  <calcPr/>
</workbook>
</file>

<file path=xl/sharedStrings.xml><?xml version="1.0" encoding="utf-8"?>
<sst xmlns="http://schemas.openxmlformats.org/spreadsheetml/2006/main" count="448" uniqueCount="345">
  <si>
    <t>-</t>
  </si>
  <si>
    <t xml:space="preserve">  In The Black — Premium Toolkit</t>
  </si>
  <si>
    <t xml:space="preserve">  Unified Dashboard</t>
  </si>
  <si>
    <t xml:space="preserve">  Monthly Budget Inputs</t>
  </si>
  <si>
    <t>Your all-in-one personal finance system. Start with your Budget Input, then the Debt Payoff, Net Worth, Emergency Fund, and lastly Annual Review. Feedback and Unified Dashboard tabs work together automatically. The Interest Saved and Mortgage Estimator are tools to utilize when you want to either evaluate debt payment numbers or purchase a home.</t>
  </si>
  <si>
    <t xml:space="preserve">  Financial Health Score</t>
  </si>
  <si>
    <t>START HERE | QUICK SETUP</t>
  </si>
  <si>
    <t>Do not edit this tab. This dashboard is fully live — every figure pulls automatically from the Budget Input, Debt Payoff, Net Worth, and Emergency Fund tabs. Change any editable input on the other tabs and the numbers, status badges, and charts refresh instantly.</t>
  </si>
  <si>
    <t>#</t>
  </si>
  <si>
    <t>INPUT</t>
  </si>
  <si>
    <t>Task</t>
  </si>
  <si>
    <t>CATEGORY</t>
  </si>
  <si>
    <t>MONTHLY PAYMENT</t>
  </si>
  <si>
    <t>PAYMENT METHOD</t>
  </si>
  <si>
    <t>Done?</t>
  </si>
  <si>
    <t>NOTES</t>
  </si>
  <si>
    <t>Notes</t>
  </si>
  <si>
    <t>TOTALS</t>
  </si>
  <si>
    <t>SUB-SCORES (0–100)</t>
  </si>
  <si>
    <t>BUDGET</t>
  </si>
  <si>
    <t>Fill out the Budget Input tab. You do not need to input anything into the "TOTALS" table. That will update automatically. Review the Feedback page to see your starting point.</t>
  </si>
  <si>
    <t>DEBT</t>
  </si>
  <si>
    <t>NET WORTH</t>
  </si>
  <si>
    <t>Savings Rate</t>
  </si>
  <si>
    <t>Add your debts on the Debt Payoff tab. Include every debt you currently have. You can use the Interest Saved tab to figure out how much quicker you could pay off a particular debt!</t>
  </si>
  <si>
    <t>Income</t>
  </si>
  <si>
    <t>Enter your assets and liabilities on the Net Worth tab.</t>
  </si>
  <si>
    <t>Set and evaluate your Emergency Fund target and current balance.</t>
  </si>
  <si>
    <t>Salary/Wages</t>
  </si>
  <si>
    <t>Log this year's numbers on the Annual Review tab, or start tracking monthly numbers moving forward!</t>
  </si>
  <si>
    <t>Revisit as much as you would like and watch your score, cash flow, debt, and net worth trend.</t>
  </si>
  <si>
    <t>Bank</t>
  </si>
  <si>
    <t>Monthly Income</t>
  </si>
  <si>
    <t>LEGEND &amp; INPUT GUIDE</t>
  </si>
  <si>
    <t>Yellow cells — Edit these cells with your own numbers.</t>
  </si>
  <si>
    <t xml:space="preserve">Blue cells — Benchmark numbers; edit these cells. </t>
  </si>
  <si>
    <t>Green rows — Income.</t>
  </si>
  <si>
    <t>Expense</t>
  </si>
  <si>
    <t>Total Debt Balance</t>
  </si>
  <si>
    <t>Housing</t>
  </si>
  <si>
    <t>Red rows — Expenses.</t>
  </si>
  <si>
    <t>Gray rows — Taxes.</t>
  </si>
  <si>
    <t>Total Assets</t>
  </si>
  <si>
    <t>Monthly Expenses</t>
  </si>
  <si>
    <t>Purple rows — Investing.</t>
  </si>
  <si>
    <t>Light Yellow — Subscriptions.</t>
  </si>
  <si>
    <t>Black</t>
  </si>
  <si>
    <t>Transportation</t>
  </si>
  <si>
    <t>Debt-to-Income</t>
  </si>
  <si>
    <t>Credit Card</t>
  </si>
  <si>
    <t>Black text — Automatic calculations; avoid typing over formulas.</t>
  </si>
  <si>
    <t>Gas + Bus Pass</t>
  </si>
  <si>
    <t>Monthly Debt</t>
  </si>
  <si>
    <t>Green</t>
  </si>
  <si>
    <t>Green text — Pulled automatically from another tab.</t>
  </si>
  <si>
    <t>A NOTE ON THE GUIDANCE</t>
  </si>
  <si>
    <t>This toolkit uses common personal-finance rules of thumb (for example, keeping housing costs around 30% of income) to provide an educational read on your finances. It is NOT personalized financial advice. Every household is different, and the benchmark assumptions can be adjusted to fit your situation. Use this workbook to identify patterns, find the source of issues, compare results against benchmarks you choose, and build a financial system that works for you.</t>
  </si>
  <si>
    <t>Food</t>
  </si>
  <si>
    <t>Monthly Taxes</t>
  </si>
  <si>
    <t>Utilities</t>
  </si>
  <si>
    <t>Water + Electric</t>
  </si>
  <si>
    <t>Monthly Investing</t>
  </si>
  <si>
    <t>TIPS</t>
  </si>
  <si>
    <t>Change your numbers in the source tabs — the Unified Dashboard updates automatically.</t>
  </si>
  <si>
    <t>Insurance</t>
  </si>
  <si>
    <t>Auto + Renters</t>
  </si>
  <si>
    <t>Monthly Subscriptions</t>
  </si>
  <si>
    <t>Total Monthly Debt Payment</t>
  </si>
  <si>
    <t>Automatic calculation cells are designed to update themselves. They are also designed to be protected. If you customize the workbook, make a copy first so you always have a clean master version.</t>
  </si>
  <si>
    <t>The point of this spreadsheet is to serve you. To put you in charge of your finances and keep you in charge. Feel free to change things about this sheet if it helps you understand things more, or cosmetically fits you better. If you are having trouble changing things to be the way you want them to be, reach out and we'll be happy to help!</t>
  </si>
  <si>
    <t>Total Liabilities</t>
  </si>
  <si>
    <t>The more honest you are with yourself about the inputs in this workbook, the better and faster this product will help you reach your goals.</t>
  </si>
  <si>
    <t>Emergency Fund</t>
  </si>
  <si>
    <t>This workbook comes preloaded with example numbers so you can see how the system works together. Replace the example inputs with your own information before relying on the results—especially on Budget Input tab, where example values can otherwise affect your totals.</t>
  </si>
  <si>
    <t>Personal &amp; Discretionary</t>
  </si>
  <si>
    <t>Monthly Surplus</t>
  </si>
  <si>
    <t>In The Black — Premium Toolkit Version 1.0</t>
  </si>
  <si>
    <t>Taxes</t>
  </si>
  <si>
    <t>Federal</t>
  </si>
  <si>
    <t>Monthly Investing Rate</t>
  </si>
  <si>
    <t>Emergency Fund Balance</t>
  </si>
  <si>
    <t>State</t>
  </si>
  <si>
    <t>Spending Discipline</t>
  </si>
  <si>
    <t>Social Security</t>
  </si>
  <si>
    <t>Don't input your debt payments on this tab. Input them on the Debt Payoff tab. Monthly Debt is still shown here for your reference.</t>
  </si>
  <si>
    <t>Investing</t>
  </si>
  <si>
    <t>401(k)</t>
  </si>
  <si>
    <t>College Fund</t>
  </si>
  <si>
    <t>YOUR SCORE</t>
  </si>
  <si>
    <t>UNIFIED METRICS</t>
  </si>
  <si>
    <t>Financial Health Score</t>
  </si>
  <si>
    <t>MONTHLY CASH FLOW</t>
  </si>
  <si>
    <t>FINANCIAL HEALTH SCORE</t>
  </si>
  <si>
    <t>Chart Data</t>
  </si>
  <si>
    <t>Grade</t>
  </si>
  <si>
    <t>SUBSCRIPTIONS DETAIL  (optional — helps track each individual service)</t>
  </si>
  <si>
    <t>TYPE</t>
  </si>
  <si>
    <t>SERVICE</t>
  </si>
  <si>
    <t>What this means</t>
  </si>
  <si>
    <t>ACTUAL PAID</t>
  </si>
  <si>
    <t>ORIGINAL PRICE</t>
  </si>
  <si>
    <t>FREQUENCY</t>
  </si>
  <si>
    <t>CANCEL?</t>
  </si>
  <si>
    <t>Subscription</t>
  </si>
  <si>
    <t>Spotify</t>
  </si>
  <si>
    <t>Monthly</t>
  </si>
  <si>
    <t>No</t>
  </si>
  <si>
    <t>Uber One</t>
  </si>
  <si>
    <t>Annual</t>
  </si>
  <si>
    <t>Yes</t>
  </si>
  <si>
    <t>Apple Music</t>
  </si>
  <si>
    <t>Expenses</t>
  </si>
  <si>
    <t>DEBT-TO-INCOME</t>
  </si>
  <si>
    <t xml:space="preserve">  Your Budget Dashboard &amp; Feedback</t>
  </si>
  <si>
    <t>SAVINGS RATE</t>
  </si>
  <si>
    <t>EMERGENCY FUND</t>
  </si>
  <si>
    <t>SUMMARY</t>
  </si>
  <si>
    <t>Debt Payments</t>
  </si>
  <si>
    <t>Total Monthly Income</t>
  </si>
  <si>
    <t>Total Monthly Expenses</t>
  </si>
  <si>
    <t>Tip: Original Price is the price of the subscription / Actual Paid is the price paid (for example, if you had a credit card benefit that pays for your Apple TV, this value would be $0.00).</t>
  </si>
  <si>
    <t>Monthly Surplus / Deficit</t>
  </si>
  <si>
    <t>Savings/Investing</t>
  </si>
  <si>
    <t>Tip: Original Price must be filled out for the appropriate subscription for the subscription count on the Feedback tab to correctly compute.</t>
  </si>
  <si>
    <t>Investing Rate (Investing ÷ Income)</t>
  </si>
  <si>
    <t>EXPENSE BREAKDOWN vs. RECOMMENDED GUIDELINES</t>
  </si>
  <si>
    <t>Category</t>
  </si>
  <si>
    <t>Monthly Amount</t>
  </si>
  <si>
    <t>% of Income</t>
  </si>
  <si>
    <t>Benchmark</t>
  </si>
  <si>
    <t>Direction</t>
  </si>
  <si>
    <t>Status</t>
  </si>
  <si>
    <t>Leftover</t>
  </si>
  <si>
    <t>Assets</t>
  </si>
  <si>
    <t>Liabilities</t>
  </si>
  <si>
    <t>Max</t>
  </si>
  <si>
    <t>Subscriptions</t>
  </si>
  <si>
    <t>Other</t>
  </si>
  <si>
    <t>SUBSCRIPTIONS INSIGHT</t>
  </si>
  <si>
    <t>Total Monthly Subscription Cost (detail list)</t>
  </si>
  <si>
    <t>Side Income</t>
  </si>
  <si>
    <t>Other Income</t>
  </si>
  <si>
    <t>Estimated Annual Subscription Cost</t>
  </si>
  <si>
    <t>Active Subscriptions Count</t>
  </si>
  <si>
    <t>Medicare</t>
  </si>
  <si>
    <t>Retirement</t>
  </si>
  <si>
    <t>Brokerage</t>
  </si>
  <si>
    <t>Subscriptions Feedback</t>
  </si>
  <si>
    <t>TSP</t>
  </si>
  <si>
    <t>OVERALL FEEDBACK</t>
  </si>
  <si>
    <t>Cash Flow</t>
  </si>
  <si>
    <t>Investing Rate</t>
  </si>
  <si>
    <t>VISUAL SUMMARY</t>
  </si>
  <si>
    <t>For visual learners — these update automatically as you fill in the Budget Input tab.</t>
  </si>
  <si>
    <t xml:space="preserve">  Debt Payoff Planner</t>
  </si>
  <si>
    <t>YOUR DEBTS</t>
  </si>
  <si>
    <t>Debt Name</t>
  </si>
  <si>
    <t>Balance</t>
  </si>
  <si>
    <t>APR</t>
  </si>
  <si>
    <t>Min Payment</t>
  </si>
  <si>
    <t>Extra Payment</t>
  </si>
  <si>
    <t>Months to Payoff</t>
  </si>
  <si>
    <t>Est. Interest</t>
  </si>
  <si>
    <t>Snowball Order</t>
  </si>
  <si>
    <t>Avalanche Order</t>
  </si>
  <si>
    <t>Auto Loan</t>
  </si>
  <si>
    <t>Total Minimum Payments</t>
  </si>
  <si>
    <t>Total Extra Payments</t>
  </si>
  <si>
    <t>Weighted Avg APR</t>
  </si>
  <si>
    <t>Snowball = pay off smallest balance first (fastest wins). Avalanche = pay off highest APR first (saves the most money). Each debt is calculated independently at its own payment amount, including a reduced final payment in the payoff month so the interest total is accurate — not a full multi-debt rollover simulation.</t>
  </si>
  <si>
    <t>Input your numbers; such as car loans, credit card debt, and current mortgages into the yellow cells and let the sheet do the rest! Your Total Monthly Debt Payment (including any Extra Payment) flows automatically into the Budget Input tab — no manual entry needed there.</t>
  </si>
  <si>
    <t xml:space="preserve">  Interest Saved / Payoff Acceleration</t>
  </si>
  <si>
    <t>YOUR LOAN</t>
  </si>
  <si>
    <t>Select Debt to Analyze</t>
  </si>
  <si>
    <t>Current Balance</t>
  </si>
  <si>
    <t>Interest Rate (APR)</t>
  </si>
  <si>
    <t>Minimum Payment</t>
  </si>
  <si>
    <t>Extra Monthly Payment</t>
  </si>
  <si>
    <t>RESULTS</t>
  </si>
  <si>
    <t>Months to Payoff — Minimum Only</t>
  </si>
  <si>
    <t>Months to Payoff — Minimum + Extra</t>
  </si>
  <si>
    <t>Time Saved</t>
  </si>
  <si>
    <t>Total Interest — Minimum Only</t>
  </si>
  <si>
    <t>Total Interest — Minimum + Extra</t>
  </si>
  <si>
    <t xml:space="preserve">  Net Worth Tracker</t>
  </si>
  <si>
    <t>ASSETS</t>
  </si>
  <si>
    <t>Interest Saved</t>
  </si>
  <si>
    <t>Item</t>
  </si>
  <si>
    <t>Amount</t>
  </si>
  <si>
    <t>Cash &amp; Checking</t>
  </si>
  <si>
    <t>Savings</t>
  </si>
  <si>
    <t>Investments (Brokerage / Retirement)</t>
  </si>
  <si>
    <t>Estimated Payoff Date — Minimum Only</t>
  </si>
  <si>
    <t>Home / Property Value</t>
  </si>
  <si>
    <t>Vehicles</t>
  </si>
  <si>
    <t>Estimated Payoff Date — Minimum + Extra</t>
  </si>
  <si>
    <t>LIABILITIES</t>
  </si>
  <si>
    <t>BALANCE OVER TIME — MONTHLY THROUGH 60 MONTHS, ANNUAL AFTER</t>
  </si>
  <si>
    <t>Mortgage Balance</t>
  </si>
  <si>
    <t>Total Debt (pulled from Debt Payoff tab)</t>
  </si>
  <si>
    <t>Balance — Minimum Only</t>
  </si>
  <si>
    <t>Balance — Minimum + Extra</t>
  </si>
  <si>
    <t>Other Liabilities</t>
  </si>
  <si>
    <t xml:space="preserve">  Emergency Fund Tracker</t>
  </si>
  <si>
    <t>Net Worth (Assets − Liabilities)</t>
  </si>
  <si>
    <t>YOUR NUMBERS</t>
  </si>
  <si>
    <t>Monthly Essential Expenses</t>
  </si>
  <si>
    <t>Tip: update this tab monthly, then copy the Net Worth figure into the Annual Review (History &amp; Trends) tab to build your trend line over time.</t>
  </si>
  <si>
    <t>Target Months of Coverage</t>
  </si>
  <si>
    <t>Current Emergency Fund Balance (pulled from Net Worth Tab)</t>
  </si>
  <si>
    <t>Target Amount</t>
  </si>
  <si>
    <t>Progress</t>
  </si>
  <si>
    <t>Months Currently Covered</t>
  </si>
  <si>
    <t>Feedback</t>
  </si>
  <si>
    <t>GOAL TIMELINE</t>
  </si>
  <si>
    <t>Monthly Contribution Toward Goal</t>
  </si>
  <si>
    <t>Months to Reach Goal (at this contribution)</t>
  </si>
  <si>
    <t>Estimated Date to Reach Goal</t>
  </si>
  <si>
    <t>Tip: to update this tab, simply input your desired number of months to be covered for (Target Months of Coverage) and how much you desire to contribute each month! The other numbers are automatically calculated. Realize that you will need to add your desired contributions to the Budget Input tab under investing! Your minimum required debt payments (from the Debt Payoff tab) are already included in your essential expenses above.</t>
  </si>
  <si>
    <t xml:space="preserve">  Home Affordability &amp; Mortgage Estimator</t>
  </si>
  <si>
    <t>YOUR FINANCES</t>
  </si>
  <si>
    <t>ESTIMATE A SPECIFIC HOME</t>
  </si>
  <si>
    <t>Annual Gross Income</t>
  </si>
  <si>
    <t>Home Price to Evaluate</t>
  </si>
  <si>
    <t>Required Monthly Debt Payments (minimums)</t>
  </si>
  <si>
    <t>Loan Amount (Price − Down Payment)</t>
  </si>
  <si>
    <t>IN THE BLACK BUDGET</t>
  </si>
  <si>
    <t>Premium Toolkit — License &amp; Terms of Use</t>
  </si>
  <si>
    <t>Down Payment Available</t>
  </si>
  <si>
    <t>Product:</t>
  </si>
  <si>
    <t>Monthly Principal &amp; Interest</t>
  </si>
  <si>
    <t>In The Black Premium Toolkit</t>
  </si>
  <si>
    <t>Version:</t>
  </si>
  <si>
    <t>1.0</t>
  </si>
  <si>
    <t>License Type:</t>
  </si>
  <si>
    <t>Personal Use</t>
  </si>
  <si>
    <t>License ID:</t>
  </si>
  <si>
    <t>ITB-XXXXXXXX</t>
  </si>
  <si>
    <t>Licensed To:</t>
  </si>
  <si>
    <t>Customer Name / Email</t>
  </si>
  <si>
    <t>Terms of Use</t>
  </si>
  <si>
    <t>1. License Grant</t>
  </si>
  <si>
    <t>These Legal Terms constitute a legally binding agreement made between you, whether personally or on behalf of any entity, and In The Black Budget LLC. You agree that by accessing the Services, you have read, understood, and agreed to be bound by all of these Legal Terms. Subject to payment and compliance with these terms, the purchaser receives a limited, non-exclusive, non-transferable license to use one licensed copy of the In The Black Premium Toolkit for the purchaser's own personal, non-commercial financial planning and budgeting purposes.</t>
  </si>
  <si>
    <t>2. Ownership</t>
  </si>
  <si>
    <t>Target Front-End DTI (housing ÷ income)</t>
  </si>
  <si>
    <t>The workbook, including its original content, structure, design, formulas, calculations, graphics, instructions, and other original materials, is owned by or licensed to In The Black Budget LLC and is protected by applicable intellectual-property laws. Purchase of the workbook does not transfer ownership of the underlying intellectual property to the purchaser.</t>
  </si>
  <si>
    <t>Monthly Property Tax</t>
  </si>
  <si>
    <t>3. Restrictions</t>
  </si>
  <si>
    <t>Except as expressly permitted by In The Black in writing, the purchaser may not sell, resell, sublicense, assign, transfer, publish, upload, distribute, share, reproduce, or otherwise make the workbook or a substantial portion of it available to another person or the public. The purchaser may not use the workbook to create or distribute a competing commercial product.</t>
  </si>
  <si>
    <t>4. Personal Use</t>
  </si>
  <si>
    <t>The license is intended for the individual purchaser's personal use. A separate license should be obtained for another individual, household arrangement, business, employer, client, or other commercial use where applicable.</t>
  </si>
  <si>
    <t>5. License Identification</t>
  </si>
  <si>
    <t>Each distributed copy contains a unique License ID and other identifying information associated with the purchaser. This information may be used for license administration, customer support, fraud prevention, and investigation of unauthorized redistribution.</t>
  </si>
  <si>
    <t>Target Back-End DTI (all debt ÷ income)</t>
  </si>
  <si>
    <t>6. Updates and Support</t>
  </si>
  <si>
    <t>Updates, revisions, support, and other services, if offered, may be subject to separate terms and may depend on the purchaser maintaining a valid license.</t>
  </si>
  <si>
    <t>Monthly Home Insurance</t>
  </si>
  <si>
    <t>7. Disclaimer</t>
  </si>
  <si>
    <t>The workbook is an educational and organizational tool and is not a substitute for individualized financial, tax, legal, investment, lending, or other professional advice. Users are responsible for evaluating information and decisions applicable to their circumstances.</t>
  </si>
  <si>
    <t>8. Unauthorized Distribution</t>
  </si>
  <si>
    <t>Unauthorized distribution or commercial use may result in suspension or termination of the license and may lead to enforcement of applicable contractual and intellectual-property rights.</t>
  </si>
  <si>
    <t>9. Acceptance</t>
  </si>
  <si>
    <t>By purchasing, downloading, accessing, or using the workbook, the user acknowledges that the workbook is licensed rather than sold as an assignment of intellectual-property ownership and agrees to comply with the applicable Terms of Use presented at the time of purchase.</t>
  </si>
  <si>
    <t>Copyright Notice</t>
  </si>
  <si>
    <t>© 2026 In The Black. All rights reserved. This workbook is a licensed digital product.</t>
  </si>
  <si>
    <t>Monthly HOA</t>
  </si>
  <si>
    <t>LOAN ASSUMPTIONS</t>
  </si>
  <si>
    <t>Total Monthly Payment (PITI)</t>
  </si>
  <si>
    <t>Resulting Front-End DTI</t>
  </si>
  <si>
    <t>Loan Term (years)</t>
  </si>
  <si>
    <t>Resulting Back-End DTI</t>
  </si>
  <si>
    <t>Property Tax Rate (annual, % of home value)</t>
  </si>
  <si>
    <t>Affordability Verdict</t>
  </si>
  <si>
    <t>Annual Home Insurance</t>
  </si>
  <si>
    <t>Property tax and insurance are estimates based on the rate and amount you entered above — actual costs vary by lender, county, and homeowner's insurance carrier. This is educational, not a loan pre-approval.</t>
  </si>
  <si>
    <t>WHAT YOU CAN AFFORD</t>
  </si>
  <si>
    <t>Max Monthly Payment — Front-End (28% rule)</t>
  </si>
  <si>
    <t>DTI BENCHMARKS — WHAT LENDERS LOOK FOR</t>
  </si>
  <si>
    <t>Max Monthly Payment — Back-End (36% rule)</t>
  </si>
  <si>
    <t>Debt-to-income (DTI) is the share of your gross monthly income that goes toward debt. Lenders use two versions — front-end (housing only) and back-end (all debt). Lower is safer; higher limits your loan options.</t>
  </si>
  <si>
    <t>Max Total Housing Payment (lower of the two)</t>
  </si>
  <si>
    <t>Front-End DTI (housing ÷ income)</t>
  </si>
  <si>
    <t>THE MATH BEHIND IT (click + to expand)</t>
  </si>
  <si>
    <t>≤ 28%</t>
  </si>
  <si>
    <t>Ideal — the classic conventional-loan sweet spot</t>
  </si>
  <si>
    <t>Step 1 — Est. Principal &amp; Interest (before tax)</t>
  </si>
  <si>
    <t>28% – 31%</t>
  </si>
  <si>
    <t>Acceptable to most lenders</t>
  </si>
  <si>
    <t>Step 1 — Implied Loan Amount</t>
  </si>
  <si>
    <t>&gt; 31%</t>
  </si>
  <si>
    <t>May need strong credit or a larger down payment</t>
  </si>
  <si>
    <t>Step 1 — Implied Home Value</t>
  </si>
  <si>
    <t>Back-End DTI (all debt ÷ income)</t>
  </si>
  <si>
    <t>Step 1 — Est. Monthly Property Tax</t>
  </si>
  <si>
    <t>≤ 36%</t>
  </si>
  <si>
    <t>Ideal — standard conventional guideline</t>
  </si>
  <si>
    <t>Step 2 — Refined Principal &amp; Interest</t>
  </si>
  <si>
    <t>36% – 43%</t>
  </si>
  <si>
    <t>Upper limit for many conventional loans</t>
  </si>
  <si>
    <t>43% – 50%</t>
  </si>
  <si>
    <t>FHA/other programs only, with strong credit</t>
  </si>
  <si>
    <t>BOTTOM LINE — WHAT YOU CAN AFFORD</t>
  </si>
  <si>
    <t>&gt; 50%</t>
  </si>
  <si>
    <t>Approval unlikely with most lenders</t>
  </si>
  <si>
    <t>Max Loan Amount</t>
  </si>
  <si>
    <t>This tool defaults to the classic 28% / 36% rule (cells C7 and C8, left). Adjust those two cells if your lender uses different limits.</t>
  </si>
  <si>
    <t xml:space="preserve">  History &amp; Trends</t>
  </si>
  <si>
    <t>Max Home Price</t>
  </si>
  <si>
    <t>Investment Goal Projection</t>
  </si>
  <si>
    <t>Est. Total Monthly Payment (PITI)</t>
  </si>
  <si>
    <t>MONTHLY LOG</t>
  </si>
  <si>
    <t>YOUR ASSUMPTIONS</t>
  </si>
  <si>
    <t>YOUR OUTLOOK</t>
  </si>
  <si>
    <t>IN PLAIN ENGLISH</t>
  </si>
  <si>
    <t>Month</t>
  </si>
  <si>
    <t>Surplus</t>
  </si>
  <si>
    <t>Net Worth</t>
  </si>
  <si>
    <t>Current invested balance</t>
  </si>
  <si>
    <t>Years to goal</t>
  </si>
  <si>
    <t>Jan</t>
  </si>
  <si>
    <t>Annual contribution</t>
  </si>
  <si>
    <t>Estimated goal year</t>
  </si>
  <si>
    <t>Feb</t>
  </si>
  <si>
    <t>Expected annual return</t>
  </si>
  <si>
    <t>Balance in 10 years</t>
  </si>
  <si>
    <t>Mar</t>
  </si>
  <si>
    <t>Target portfolio</t>
  </si>
  <si>
    <t>Total contributed at goal</t>
  </si>
  <si>
    <t>Apr</t>
  </si>
  <si>
    <t>Projection start year</t>
  </si>
  <si>
    <t>Estimated investment growth</t>
  </si>
  <si>
    <t>May</t>
  </si>
  <si>
    <t>Jun</t>
  </si>
  <si>
    <t>This is an educational projection, not a guarantee. Returns vary, inflation reduces future purchasing power, and taxes/fees are not modeled. Adjust the assumptions to explore scenarios.</t>
  </si>
  <si>
    <t>Jul</t>
  </si>
  <si>
    <t>Aug</t>
  </si>
  <si>
    <t>Sep</t>
  </si>
  <si>
    <t>Oct</t>
  </si>
  <si>
    <t>Nov</t>
  </si>
  <si>
    <t>Dec</t>
  </si>
  <si>
    <t>Fill in Income and Expenses from your Budget Input tab each month, and Net Worth from the Net Worth tab, to build a real trend line over time.</t>
  </si>
  <si>
    <t>Year</t>
  </si>
  <si>
    <t>Contributions</t>
  </si>
  <si>
    <t>Projected Balance</t>
  </si>
  <si>
    <t>Goal</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</si>
</sst>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00;&quot;($&quot;#,##0.00\)"/>
    <numFmt numFmtId="165" formatCode="0&quot;/100&quot;"/>
    <numFmt numFmtId="166" formatCode="0.0%"/>
    <numFmt numFmtId="167" formatCode="\$#,##0;&quot;($&quot;#,##0\)"/>
    <numFmt numFmtId="168" formatCode="0.0&quot; months&quot;"/>
    <numFmt numFmtId="169" formatCode="0&quot; months&quot;"/>
    <numFmt numFmtId="170" formatCode="$#,##0.00"/>
    <numFmt numFmtId="171" formatCode="0.0&quot;  months&quot;"/>
    <numFmt numFmtId="172" formatCode="$#,##0"/>
    <numFmt numFmtId="173" formatCode="0.0"/>
  </numFmts>
  <fonts count="34">
    <font>
      <sz val="11.0"/>
      <color theme="1"/>
      <name val="Calibri"/>
      <scheme val="minor"/>
    </font>
    <font>
      <sz val="11.0"/>
      <color theme="1"/>
      <name val="Calibri"/>
    </font>
    <font>
      <b/>
      <sz val="16.0"/>
      <color rgb="FFFFFFFF"/>
      <name val="Arial"/>
    </font>
    <font>
      <sz val="11.0"/>
      <color rgb="FF000000"/>
      <name val="Arial"/>
    </font>
    <font>
      <b/>
      <sz val="11.0"/>
      <color rgb="FFFFFFFF"/>
      <name val="Arial"/>
    </font>
    <font>
      <sz val="10.0"/>
      <color rgb="FF000000"/>
      <name val="Arial"/>
    </font>
    <font>
      <sz val="11.0"/>
      <color theme="1"/>
      <name val="Arial"/>
    </font>
    <font>
      <b/>
      <sz val="10.0"/>
      <color rgb="FF000000"/>
      <name val="Arial"/>
    </font>
    <font/>
    <font>
      <sz val="10.0"/>
      <color theme="1"/>
      <name val="Arial"/>
    </font>
    <font>
      <sz val="11.0"/>
      <color rgb="FF1E5A38"/>
      <name val="Arial"/>
    </font>
    <font>
      <b/>
      <sz val="11.0"/>
      <color rgb="FF54818E"/>
      <name val="Arial"/>
    </font>
    <font>
      <i/>
      <sz val="9.0"/>
      <color rgb="FF808080"/>
      <name val="Arial"/>
    </font>
    <font>
      <b/>
      <sz val="10.0"/>
      <color theme="1"/>
      <name val="Arial"/>
    </font>
    <font>
      <sz val="10.0"/>
      <color rgb="FF1E5A38"/>
      <name val="Arial"/>
    </font>
    <font>
      <b/>
      <sz val="16.0"/>
      <color rgb="FF000000"/>
      <name val="Arial"/>
    </font>
    <font>
      <b/>
      <sz val="10.0"/>
      <color rgb="FF56707A"/>
      <name val="Arial"/>
    </font>
    <font>
      <b/>
      <sz val="22.0"/>
      <color rgb="FF000000"/>
      <name val="Arial"/>
    </font>
    <font>
      <b/>
      <sz val="22.0"/>
      <color theme="1"/>
      <name val="Arial"/>
    </font>
    <font>
      <sz val="10.0"/>
      <color rgb="FF0000FF"/>
      <name val="Arial"/>
    </font>
    <font>
      <sz val="10.0"/>
      <color rgb="FF008000"/>
      <name val="Arial"/>
    </font>
    <font>
      <b/>
      <sz val="16.0"/>
      <color theme="1"/>
      <name val="Arial"/>
    </font>
    <font>
      <b/>
      <sz val="12.0"/>
      <color rgb="FF000000"/>
      <name val="Arial"/>
    </font>
    <font>
      <b/>
      <sz val="18.0"/>
      <color theme="1"/>
      <name val="Calibri"/>
    </font>
    <font>
      <b/>
      <sz val="13.0"/>
      <color theme="1"/>
      <name val="Calibri"/>
    </font>
    <font>
      <b/>
      <sz val="11.0"/>
      <color theme="1"/>
      <name val="Calibri"/>
    </font>
    <font>
      <i/>
      <sz val="9.0"/>
      <color rgb="FF595959"/>
      <name val="Arial"/>
    </font>
    <font>
      <i/>
      <sz val="9.0"/>
      <color rgb="FFCC0000"/>
      <name val="Arial"/>
    </font>
    <font>
      <b/>
      <sz val="11.0"/>
      <color rgb="FFFFFFFF"/>
      <name val="Calibri"/>
    </font>
    <font>
      <sz val="11.0"/>
      <color rgb="FF000000"/>
      <name val="Calibri"/>
    </font>
    <font>
      <color theme="1"/>
      <name val="Calibri"/>
    </font>
    <font>
      <sz val="11.0"/>
      <color rgb="FF404040"/>
      <name val="Calibri"/>
    </font>
    <font>
      <b/>
      <sz val="10.0"/>
      <color rgb="FFCC0000"/>
      <name val="Arial"/>
    </font>
    <font>
      <b/>
      <sz val="11.0"/>
      <color rgb="FF000000"/>
      <name val="Calibri"/>
    </font>
  </fonts>
  <fills count="22">
    <fill>
      <patternFill patternType="none"/>
    </fill>
    <fill>
      <patternFill patternType="lightGray"/>
    </fill>
    <fill>
      <patternFill patternType="solid">
        <fgColor rgb="FF54818E"/>
        <bgColor rgb="FF54818E"/>
      </patternFill>
    </fill>
    <fill>
      <patternFill patternType="solid">
        <fgColor rgb="FF45818E"/>
        <bgColor rgb="FF45818E"/>
      </patternFill>
    </fill>
    <fill>
      <patternFill patternType="solid">
        <fgColor rgb="FFD9E1F2"/>
        <bgColor rgb="FFD9E1F2"/>
      </patternFill>
    </fill>
    <fill>
      <patternFill patternType="solid">
        <fgColor rgb="FFFFFF00"/>
        <bgColor rgb="FFFFFF00"/>
      </patternFill>
    </fill>
    <fill>
      <patternFill patternType="solid">
        <fgColor rgb="FFDDEBF7"/>
        <bgColor rgb="FFDDEBF7"/>
      </patternFill>
    </fill>
    <fill>
      <patternFill patternType="solid">
        <fgColor rgb="FFC6EFCE"/>
        <bgColor rgb="FFC6EFCE"/>
      </patternFill>
    </fill>
    <fill>
      <patternFill patternType="solid">
        <fgColor rgb="FFF7C8CF"/>
        <bgColor rgb="FFF7C8CF"/>
      </patternFill>
    </fill>
    <fill>
      <patternFill patternType="solid">
        <fgColor rgb="FFF2F2F2"/>
        <bgColor rgb="FFF2F2F2"/>
      </patternFill>
    </fill>
    <fill>
      <patternFill patternType="solid">
        <fgColor rgb="FFF6B26B"/>
        <bgColor rgb="FFF6B26B"/>
      </patternFill>
    </fill>
    <fill>
      <patternFill patternType="solid">
        <fgColor rgb="FFFFC7CE"/>
        <bgColor rgb="FFFFC7CE"/>
      </patternFill>
    </fill>
    <fill>
      <patternFill patternType="solid">
        <fgColor rgb="FFD9D2E9"/>
        <bgColor rgb="FFD9D2E9"/>
      </patternFill>
    </fill>
    <fill>
      <patternFill patternType="solid">
        <fgColor rgb="FFFFE599"/>
        <bgColor rgb="FFFFE599"/>
      </patternFill>
    </fill>
    <fill>
      <patternFill patternType="solid">
        <fgColor rgb="FFD8D2E9"/>
        <bgColor rgb="FFD8D2E9"/>
      </patternFill>
    </fill>
    <fill>
      <patternFill patternType="solid">
        <fgColor theme="6"/>
        <bgColor theme="6"/>
      </patternFill>
    </fill>
    <fill>
      <patternFill patternType="solid">
        <fgColor rgb="FFFFFFFF"/>
        <bgColor rgb="FFFFFFFF"/>
      </patternFill>
    </fill>
    <fill>
      <patternFill patternType="solid">
        <fgColor rgb="FFFFF2CC"/>
        <bgColor rgb="FFFFF2CC"/>
      </patternFill>
    </fill>
    <fill>
      <patternFill patternType="solid">
        <fgColor rgb="FF5E818E"/>
        <bgColor rgb="FF5E818E"/>
      </patternFill>
    </fill>
    <fill>
      <patternFill patternType="solid">
        <fgColor rgb="FFCDEECE"/>
        <bgColor rgb="FFCDEECE"/>
      </patternFill>
    </fill>
    <fill>
      <patternFill patternType="solid">
        <fgColor rgb="FFFFF200"/>
        <bgColor rgb="FFFFF200"/>
      </patternFill>
    </fill>
    <fill>
      <patternFill patternType="solid">
        <fgColor rgb="FFFFE699"/>
        <bgColor rgb="FFFFE699"/>
      </patternFill>
    </fill>
  </fills>
  <borders count="50">
    <border/>
    <border>
      <left style="thin">
        <color rgb="FFBFBFBF"/>
      </left>
      <right style="thin">
        <color rgb="FFBFBFBF"/>
      </right>
      <top style="thin">
        <color rgb="FFBFBFBF"/>
      </top>
      <bottom style="thin">
        <color rgb="FFBFBFBF"/>
      </bottom>
    </border>
    <border>
      <left style="thin">
        <color rgb="FFCCCCCC"/>
      </left>
      <right style="thin">
        <color rgb="FFCCCCCC"/>
      </right>
      <top style="thin">
        <color rgb="FFCCCCCC"/>
      </top>
      <bottom style="thin">
        <color rgb="FFCCCCCC"/>
      </bottom>
    </border>
    <border>
      <left style="thin">
        <color rgb="FFBFBFBF"/>
      </left>
      <right style="thin">
        <color rgb="FFBFBFBF"/>
      </right>
      <bottom style="thin">
        <color rgb="FFBFBFBF"/>
      </bottom>
    </border>
    <border>
      <left style="thin">
        <color rgb="FF999999"/>
      </left>
      <right style="thin">
        <color rgb="FF999999"/>
      </right>
      <top style="thin">
        <color rgb="FF999999"/>
      </top>
      <bottom style="thin">
        <color rgb="FF999999"/>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BFBFBF"/>
      </left>
      <right style="thin">
        <color rgb="FFBFBFBF"/>
      </right>
      <top style="thin">
        <color rgb="FFBFBFBF"/>
      </top>
    </border>
    <border>
      <left style="thin">
        <color rgb="FFB7B7B7"/>
      </left>
      <top style="thin">
        <color rgb="FFB7B7B7"/>
      </top>
    </border>
    <border>
      <top style="thin">
        <color rgb="FFB7B7B7"/>
      </top>
    </border>
    <border>
      <right style="thin">
        <color rgb="FFB7B7B7"/>
      </right>
      <top style="thin">
        <color rgb="FFB7B7B7"/>
      </top>
    </border>
    <border>
      <left style="thin">
        <color rgb="FFB7B7B7"/>
      </left>
      <bottom style="thin">
        <color rgb="FFB7B7B7"/>
      </bottom>
    </border>
    <border>
      <bottom style="thin">
        <color rgb="FFB7B7B7"/>
      </bottom>
    </border>
    <border>
      <right style="thin">
        <color rgb="FFB7B7B7"/>
      </right>
      <bottom style="thin">
        <color rgb="FFB7B7B7"/>
      </bottom>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top style="thin">
        <color rgb="FF999999"/>
      </top>
    </border>
    <border>
      <right style="thin">
        <color rgb="FF999999"/>
      </right>
      <top style="thin">
        <color rgb="FF999999"/>
      </top>
    </border>
    <border>
      <left style="thin">
        <color rgb="FF999999"/>
      </left>
    </border>
    <border>
      <right style="thin">
        <color rgb="FF999999"/>
      </right>
    </border>
    <border>
      <left style="thin">
        <color rgb="FF999999"/>
      </left>
      <bottom style="thin">
        <color rgb="FF999999"/>
      </bottom>
    </border>
    <border>
      <right style="thin">
        <color rgb="FF999999"/>
      </right>
      <bottom style="thin">
        <color rgb="FF999999"/>
      </bottom>
    </border>
    <border>
      <left style="medium">
        <color rgb="FFD5DEE1"/>
      </left>
      <top style="medium">
        <color rgb="FFD5DEE1"/>
      </top>
      <bottom style="medium">
        <color rgb="FFD5DEE1"/>
      </bottom>
    </border>
    <border>
      <right style="medium">
        <color rgb="FFD5DEE1"/>
      </right>
      <top style="medium">
        <color rgb="FFD5DEE1"/>
      </top>
      <bottom style="medium">
        <color rgb="FFD5DEE1"/>
      </bottom>
    </border>
    <border>
      <right style="thin">
        <color rgb="FFBFBFBF"/>
      </right>
      <top style="thin">
        <color rgb="FFBFBFBF"/>
      </top>
    </border>
    <border>
      <left style="thin">
        <color rgb="FFB7B7B7"/>
      </left>
      <right style="thin">
        <color rgb="FFB7B7B7"/>
      </right>
      <top style="thin">
        <color rgb="FFB7B7B7"/>
      </top>
    </border>
    <border>
      <left style="thin">
        <color rgb="FFBFBFBF"/>
      </left>
      <top style="thin">
        <color rgb="FFBFBFBF"/>
      </top>
      <bottom style="thin">
        <color rgb="FFBFBFBF"/>
      </bottom>
    </border>
    <border>
      <left style="thin">
        <color rgb="FFB7B7B7"/>
      </left>
      <right style="thin">
        <color rgb="FFB7B7B7"/>
      </right>
    </border>
    <border>
      <left style="thin">
        <color rgb="FFB7B7B7"/>
      </left>
      <right style="thin">
        <color rgb="FFB7B7B7"/>
      </right>
      <bottom style="thin">
        <color rgb="FFB7B7B7"/>
      </bottom>
    </border>
    <border>
      <right style="thin">
        <color rgb="FFBFBFBF"/>
      </right>
      <top style="thin">
        <color rgb="FFBFBFBF"/>
      </top>
      <bottom style="thin">
        <color rgb="FFBFBFBF"/>
      </bottom>
    </border>
    <border>
      <top style="thin">
        <color rgb="FFBFBFBF"/>
      </top>
      <bottom style="thin">
        <color rgb="FFBFBFBF"/>
      </bottom>
    </border>
    <border>
      <left style="thin">
        <color rgb="FFD9D9D9"/>
      </left>
      <right style="thin">
        <color rgb="FFD9D9D9"/>
      </right>
      <top style="thin">
        <color rgb="FFD9D9D9"/>
      </top>
      <bottom style="thin">
        <color rgb="FFD9D9D9"/>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B7B7B7"/>
      </left>
    </border>
    <border>
      <right style="thin">
        <color rgb="FFB7B7B7"/>
      </right>
    </border>
    <border>
      <left style="thin">
        <color rgb="FFBFBFBF"/>
      </left>
      <top style="thin">
        <color rgb="FFBFBFBF"/>
      </top>
    </border>
    <border>
      <left style="thin">
        <color rgb="FFBFBFBF"/>
      </left>
      <bottom style="thin">
        <color rgb="FFBFBFBF"/>
      </bottom>
    </border>
    <border>
      <right style="thin">
        <color rgb="FFBFBFBF"/>
      </right>
      <bottom style="thin">
        <color rgb="FFBFBFBF"/>
      </bottom>
    </border>
    <border>
      <top style="thin">
        <color rgb="FFBFBFBF"/>
      </top>
    </border>
    <border>
      <bottom style="thin">
        <color rgb="FFBFBFBF"/>
      </bottom>
    </border>
    <border>
      <left style="thin">
        <color rgb="FF999999"/>
      </left>
      <right style="thin">
        <color rgb="FF999999"/>
      </right>
      <bottom style="thin">
        <color rgb="FF999999"/>
      </bottom>
    </border>
  </borders>
  <cellStyleXfs count="1">
    <xf borderId="0" fillId="0" fontId="0" numFmtId="0" applyAlignment="1" applyFont="1"/>
  </cellStyleXfs>
  <cellXfs count="19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2" fontId="2" numFmtId="0" xfId="0" applyAlignment="1" applyFill="1" applyFont="1">
      <alignment horizontal="left" shrinkToFit="0" vertical="center" wrapText="0"/>
    </xf>
    <xf borderId="0" fillId="3" fontId="2" numFmtId="0" xfId="0" applyAlignment="1" applyFill="1" applyFont="1">
      <alignment horizontal="left" shrinkToFit="0" vertical="center" wrapText="0"/>
    </xf>
    <xf borderId="0" fillId="0" fontId="3" numFmtId="0" xfId="0" applyAlignment="1" applyFont="1">
      <alignment shrinkToFit="0" vertical="center" wrapText="1"/>
    </xf>
    <xf borderId="0" fillId="2" fontId="4" numFmtId="0" xfId="0" applyAlignment="1" applyFont="1">
      <alignment horizontal="left" shrinkToFit="0" vertical="center" wrapText="0"/>
    </xf>
    <xf borderId="0" fillId="0" fontId="5" numFmtId="0" xfId="0" applyAlignment="1" applyFont="1">
      <alignment shrinkToFit="0" vertical="center" wrapText="1"/>
    </xf>
    <xf borderId="1" fillId="4" fontId="5" numFmtId="0" xfId="0" applyAlignment="1" applyBorder="1" applyFill="1" applyFont="1">
      <alignment horizontal="center" shrinkToFit="0" vertical="center" wrapText="0"/>
    </xf>
    <xf borderId="0" fillId="3" fontId="4" numFmtId="0" xfId="0" applyAlignment="1" applyFont="1">
      <alignment horizontal="left" shrinkToFit="0" vertical="bottom" wrapText="0"/>
    </xf>
    <xf borderId="1" fillId="4" fontId="5" numFmtId="0" xfId="0" applyAlignment="1" applyBorder="1" applyFont="1">
      <alignment horizontal="left" shrinkToFit="0" vertical="center" wrapText="0"/>
    </xf>
    <xf borderId="0" fillId="3" fontId="4" numFmtId="0" xfId="0" applyAlignment="1" applyFont="1">
      <alignment horizontal="left" shrinkToFit="0" vertical="center" wrapText="0"/>
    </xf>
    <xf borderId="2" fillId="0" fontId="6" numFmtId="0" xfId="0" applyAlignment="1" applyBorder="1" applyFont="1">
      <alignment horizontal="center" shrinkToFit="0" vertical="center" wrapText="0"/>
    </xf>
    <xf borderId="2" fillId="0" fontId="6" numFmtId="0" xfId="0" applyAlignment="1" applyBorder="1" applyFont="1">
      <alignment shrinkToFit="0" vertical="center" wrapText="1"/>
    </xf>
    <xf borderId="1" fillId="0" fontId="5" numFmtId="0" xfId="0" applyAlignment="1" applyBorder="1" applyFont="1">
      <alignment shrinkToFit="0" vertical="center" wrapText="0"/>
    </xf>
    <xf borderId="2" fillId="5" fontId="1" numFmtId="0" xfId="0" applyAlignment="1" applyBorder="1" applyFill="1" applyFont="1">
      <alignment shrinkToFit="0" vertical="bottom" wrapText="0"/>
    </xf>
    <xf borderId="2" fillId="0" fontId="1" numFmtId="0" xfId="0" applyAlignment="1" applyBorder="1" applyFont="1">
      <alignment shrinkToFit="0" vertical="bottom" wrapText="0"/>
    </xf>
    <xf borderId="3" fillId="5" fontId="5" numFmtId="0" xfId="0" applyAlignment="1" applyBorder="1" applyFont="1">
      <alignment readingOrder="0" shrinkToFit="0" vertical="center" wrapText="0"/>
    </xf>
    <xf borderId="3" fillId="5" fontId="5" numFmtId="164" xfId="0" applyAlignment="1" applyBorder="1" applyFont="1" applyNumberFormat="1">
      <alignment readingOrder="0" shrinkToFit="0" vertical="center" wrapText="0"/>
    </xf>
    <xf borderId="3" fillId="5" fontId="5" numFmtId="0" xfId="0" applyAlignment="1" applyBorder="1" applyFont="1">
      <alignment shrinkToFit="0" vertical="center" wrapText="0"/>
    </xf>
    <xf borderId="0" fillId="0" fontId="1" numFmtId="0" xfId="0" applyAlignment="1" applyFont="1">
      <alignment horizontal="left" shrinkToFit="0" vertical="center" wrapText="0"/>
    </xf>
    <xf borderId="4" fillId="0" fontId="7" numFmtId="0" xfId="0" applyAlignment="1" applyBorder="1" applyFont="1">
      <alignment shrinkToFit="0" vertical="center" wrapText="0"/>
    </xf>
    <xf borderId="5" fillId="0" fontId="6" numFmtId="0" xfId="0" applyAlignment="1" applyBorder="1" applyFont="1">
      <alignment shrinkToFit="0" vertical="bottom" wrapText="1"/>
    </xf>
    <xf borderId="6" fillId="0" fontId="8" numFmtId="0" xfId="0" applyBorder="1" applyFont="1"/>
    <xf borderId="7" fillId="0" fontId="8" numFmtId="0" xfId="0" applyBorder="1" applyFont="1"/>
    <xf borderId="1" fillId="0" fontId="5" numFmtId="165" xfId="0" applyAlignment="1" applyBorder="1" applyFont="1" applyNumberFormat="1">
      <alignment shrinkToFit="0" vertical="center" wrapText="0"/>
    </xf>
    <xf borderId="2" fillId="6" fontId="1" numFmtId="0" xfId="0" applyAlignment="1" applyBorder="1" applyFill="1" applyFont="1">
      <alignment shrinkToFit="0" vertical="bottom" wrapText="0"/>
    </xf>
    <xf borderId="4" fillId="7" fontId="7" numFmtId="164" xfId="0" applyAlignment="1" applyBorder="1" applyFill="1" applyFont="1" applyNumberFormat="1">
      <alignment shrinkToFit="0" vertical="center" wrapText="0"/>
    </xf>
    <xf borderId="2" fillId="7" fontId="1" numFmtId="0" xfId="0" applyAlignment="1" applyBorder="1" applyFont="1">
      <alignment shrinkToFit="0" vertical="bottom" wrapText="0"/>
    </xf>
    <xf borderId="1" fillId="7" fontId="5" numFmtId="164" xfId="0" applyAlignment="1" applyBorder="1" applyFont="1" applyNumberFormat="1">
      <alignment shrinkToFit="0" vertical="center" wrapText="0"/>
    </xf>
    <xf borderId="1" fillId="5" fontId="5" numFmtId="0" xfId="0" applyAlignment="1" applyBorder="1" applyFont="1">
      <alignment readingOrder="0" shrinkToFit="0" vertical="center" wrapText="0"/>
    </xf>
    <xf borderId="2" fillId="8" fontId="1" numFmtId="0" xfId="0" applyAlignment="1" applyBorder="1" applyFill="1" applyFont="1">
      <alignment shrinkToFit="0" vertical="bottom" wrapText="0"/>
    </xf>
    <xf borderId="2" fillId="9" fontId="1" numFmtId="0" xfId="0" applyAlignment="1" applyBorder="1" applyFill="1" applyFont="1">
      <alignment shrinkToFit="0" vertical="bottom" wrapText="0"/>
    </xf>
    <xf borderId="1" fillId="5" fontId="5" numFmtId="164" xfId="0" applyAlignment="1" applyBorder="1" applyFont="1" applyNumberFormat="1">
      <alignment readingOrder="0" shrinkToFit="0" vertical="center" wrapText="0"/>
    </xf>
    <xf borderId="1" fillId="10" fontId="5" numFmtId="164" xfId="0" applyAlignment="1" applyBorder="1" applyFill="1" applyFont="1" applyNumberFormat="1">
      <alignment shrinkToFit="0" vertical="center" wrapText="0"/>
    </xf>
    <xf borderId="1" fillId="11" fontId="9" numFmtId="0" xfId="0" applyBorder="1" applyFill="1" applyFont="1"/>
    <xf borderId="8" fillId="0" fontId="5" numFmtId="0" xfId="0" applyAlignment="1" applyBorder="1" applyFont="1">
      <alignment shrinkToFit="0" vertical="center" wrapText="0"/>
    </xf>
    <xf borderId="2" fillId="12" fontId="1" numFmtId="0" xfId="0" applyAlignment="1" applyBorder="1" applyFill="1" applyFont="1">
      <alignment shrinkToFit="0" vertical="bottom" wrapText="0"/>
    </xf>
    <xf borderId="2" fillId="13" fontId="1" numFmtId="0" xfId="0" applyAlignment="1" applyBorder="1" applyFill="1" applyFont="1">
      <alignment shrinkToFit="0" vertical="bottom" wrapText="0"/>
    </xf>
    <xf borderId="4" fillId="11" fontId="7" numFmtId="164" xfId="0" applyAlignment="1" applyBorder="1" applyFont="1" applyNumberFormat="1">
      <alignment shrinkToFit="0" vertical="center" wrapText="0"/>
    </xf>
    <xf borderId="8" fillId="7" fontId="5" numFmtId="164" xfId="0" applyAlignment="1" applyBorder="1" applyFont="1" applyNumberFormat="1">
      <alignment shrinkToFit="0" vertical="center" wrapText="0"/>
    </xf>
    <xf borderId="2" fillId="0" fontId="6" numFmtId="0" xfId="0" applyAlignment="1" applyBorder="1" applyFont="1">
      <alignment shrinkToFit="0" vertical="bottom" wrapText="0"/>
    </xf>
    <xf borderId="2" fillId="0" fontId="10" numFmtId="0" xfId="0" applyAlignment="1" applyBorder="1" applyFont="1">
      <alignment shrinkToFit="0" vertical="bottom" wrapText="0"/>
    </xf>
    <xf borderId="4" fillId="10" fontId="7" numFmtId="164" xfId="0" applyAlignment="1" applyBorder="1" applyFont="1" applyNumberFormat="1">
      <alignment shrinkToFit="0" vertical="center" wrapText="0"/>
    </xf>
    <xf borderId="9" fillId="0" fontId="6" numFmtId="0" xfId="0" applyAlignment="1" applyBorder="1" applyFont="1">
      <alignment shrinkToFit="0" vertical="top" wrapText="1"/>
    </xf>
    <xf borderId="10" fillId="0" fontId="8" numFmtId="0" xfId="0" applyBorder="1" applyFont="1"/>
    <xf borderId="11" fillId="0" fontId="8" numFmtId="0" xfId="0" applyBorder="1" applyFont="1"/>
    <xf borderId="4" fillId="9" fontId="7" numFmtId="164" xfId="0" applyAlignment="1" applyBorder="1" applyFont="1" applyNumberFormat="1">
      <alignment shrinkToFit="0" vertical="center" wrapText="0"/>
    </xf>
    <xf borderId="12" fillId="0" fontId="8" numFmtId="0" xfId="0" applyBorder="1" applyFont="1"/>
    <xf borderId="13" fillId="0" fontId="8" numFmtId="0" xfId="0" applyBorder="1" applyFont="1"/>
    <xf borderId="14" fillId="0" fontId="8" numFmtId="0" xfId="0" applyBorder="1" applyFont="1"/>
    <xf borderId="0" fillId="0" fontId="4" numFmtId="0" xfId="0" applyAlignment="1" applyFont="1">
      <alignment horizontal="left" shrinkToFit="0" vertical="center" wrapText="0"/>
    </xf>
    <xf borderId="4" fillId="12" fontId="7" numFmtId="164" xfId="0" applyAlignment="1" applyBorder="1" applyFont="1" applyNumberFormat="1">
      <alignment shrinkToFit="0" vertical="center" wrapText="0"/>
    </xf>
    <xf borderId="1" fillId="8" fontId="5" numFmtId="164" xfId="0" applyAlignment="1" applyBorder="1" applyFont="1" applyNumberFormat="1">
      <alignment shrinkToFit="0" vertical="center" wrapText="0"/>
    </xf>
    <xf borderId="15" fillId="0" fontId="11" numFmtId="0" xfId="0" applyAlignment="1" applyBorder="1" applyFont="1">
      <alignment shrinkToFit="0" vertical="center" wrapText="1"/>
    </xf>
    <xf borderId="16" fillId="0" fontId="8" numFmtId="0" xfId="0" applyBorder="1" applyFont="1"/>
    <xf borderId="17" fillId="0" fontId="8" numFmtId="0" xfId="0" applyBorder="1" applyFont="1"/>
    <xf borderId="18" fillId="0" fontId="5" numFmtId="0" xfId="0" applyAlignment="1" applyBorder="1" applyFont="1">
      <alignment shrinkToFit="0" vertical="center" wrapText="0"/>
    </xf>
    <xf borderId="9" fillId="0" fontId="11" numFmtId="0" xfId="0" applyAlignment="1" applyBorder="1" applyFont="1">
      <alignment shrinkToFit="0" vertical="center" wrapText="1"/>
    </xf>
    <xf borderId="19" fillId="0" fontId="11" numFmtId="0" xfId="0" applyAlignment="1" applyBorder="1" applyFont="1">
      <alignment shrinkToFit="0" vertical="center" wrapText="1"/>
    </xf>
    <xf borderId="20" fillId="0" fontId="8" numFmtId="0" xfId="0" applyBorder="1" applyFont="1"/>
    <xf borderId="18" fillId="8" fontId="5" numFmtId="164" xfId="0" applyAlignment="1" applyBorder="1" applyFont="1" applyNumberFormat="1">
      <alignment shrinkToFit="0" vertical="center" wrapText="0"/>
    </xf>
    <xf borderId="4" fillId="13" fontId="7" numFmtId="164" xfId="0" applyAlignment="1" applyBorder="1" applyFont="1" applyNumberFormat="1">
      <alignment shrinkToFit="0" vertical="center" wrapText="0"/>
    </xf>
    <xf borderId="21" fillId="0" fontId="8" numFmtId="0" xfId="0" applyBorder="1" applyFont="1"/>
    <xf borderId="0" fillId="0" fontId="11" numFmtId="0" xfId="0" applyAlignment="1" applyFont="1">
      <alignment shrinkToFit="0" vertical="center" wrapText="1"/>
    </xf>
    <xf borderId="0" fillId="0" fontId="12" numFmtId="0" xfId="0" applyAlignment="1" applyFont="1">
      <alignment horizontal="left" shrinkToFit="0" vertical="bottom" wrapText="0"/>
    </xf>
    <xf borderId="1" fillId="5" fontId="5" numFmtId="0" xfId="0" applyAlignment="1" applyBorder="1" applyFont="1">
      <alignment shrinkToFit="0" vertical="center" wrapText="0"/>
    </xf>
    <xf borderId="4" fillId="0" fontId="13" numFmtId="0" xfId="0" applyAlignment="1" applyBorder="1" applyFont="1">
      <alignment shrinkToFit="0" vertical="bottom" wrapText="0"/>
    </xf>
    <xf borderId="1" fillId="9" fontId="5" numFmtId="164" xfId="0" applyAlignment="1" applyBorder="1" applyFont="1" applyNumberFormat="1">
      <alignment shrinkToFit="0" vertical="center" wrapText="0"/>
    </xf>
    <xf borderId="4" fillId="14" fontId="7" numFmtId="166" xfId="0" applyAlignment="1" applyBorder="1" applyFill="1" applyFont="1" applyNumberFormat="1">
      <alignment shrinkToFit="0" vertical="bottom" wrapText="0"/>
    </xf>
    <xf borderId="18" fillId="15" fontId="5" numFmtId="164" xfId="0" applyAlignment="1" applyBorder="1" applyFill="1" applyFont="1" applyNumberFormat="1">
      <alignment shrinkToFit="0" vertical="center" wrapText="0"/>
    </xf>
    <xf borderId="0" fillId="0" fontId="9" numFmtId="0" xfId="0" applyAlignment="1" applyFont="1">
      <alignment horizontal="left" shrinkToFit="0" vertical="center" wrapText="1"/>
    </xf>
    <xf borderId="22" fillId="0" fontId="9" numFmtId="0" xfId="0" applyAlignment="1" applyBorder="1" applyFont="1">
      <alignment horizontal="left" readingOrder="0" shrinkToFit="0" vertical="center" wrapText="1"/>
    </xf>
    <xf borderId="23" fillId="0" fontId="8" numFmtId="0" xfId="0" applyBorder="1" applyFont="1"/>
    <xf borderId="24" fillId="0" fontId="8" numFmtId="0" xfId="0" applyBorder="1" applyFont="1"/>
    <xf borderId="25" fillId="0" fontId="8" numFmtId="0" xfId="0" applyBorder="1" applyFont="1"/>
    <xf borderId="26" fillId="0" fontId="8" numFmtId="0" xfId="0" applyBorder="1" applyFont="1"/>
    <xf borderId="27" fillId="0" fontId="8" numFmtId="0" xfId="0" applyBorder="1" applyFont="1"/>
    <xf borderId="1" fillId="5" fontId="5" numFmtId="164" xfId="0" applyAlignment="1" applyBorder="1" applyFont="1" applyNumberFormat="1">
      <alignment shrinkToFit="0" vertical="center" wrapText="0"/>
    </xf>
    <xf borderId="1" fillId="13" fontId="5" numFmtId="164" xfId="0" applyAlignment="1" applyBorder="1" applyFont="1" applyNumberFormat="1">
      <alignment shrinkToFit="0" vertical="center" wrapText="0"/>
    </xf>
    <xf borderId="0" fillId="0" fontId="5" numFmtId="0" xfId="0" applyAlignment="1" applyFont="1">
      <alignment shrinkToFit="0" vertical="center" wrapText="0"/>
    </xf>
    <xf borderId="0" fillId="0" fontId="5" numFmtId="164" xfId="0" applyAlignment="1" applyFont="1" applyNumberFormat="1">
      <alignment shrinkToFit="0" vertical="center" wrapText="0"/>
    </xf>
    <xf borderId="8" fillId="0" fontId="7" numFmtId="0" xfId="0" applyAlignment="1" applyBorder="1" applyFont="1">
      <alignment shrinkToFit="0" vertical="center" wrapText="0"/>
    </xf>
    <xf borderId="1" fillId="5" fontId="14" numFmtId="164" xfId="0" applyAlignment="1" applyBorder="1" applyFont="1" applyNumberFormat="1">
      <alignment shrinkToFit="0" vertical="center" wrapText="0"/>
    </xf>
    <xf borderId="1" fillId="0" fontId="15" numFmtId="165" xfId="0" applyAlignment="1" applyBorder="1" applyFont="1" applyNumberFormat="1">
      <alignment shrinkToFit="0" vertical="center" wrapText="0"/>
    </xf>
    <xf borderId="28" fillId="4" fontId="16" numFmtId="0" xfId="0" applyAlignment="1" applyBorder="1" applyFont="1">
      <alignment horizontal="center" shrinkToFit="0" vertical="center" wrapText="0"/>
    </xf>
    <xf borderId="29" fillId="0" fontId="8" numFmtId="0" xfId="0" applyBorder="1" applyFont="1"/>
    <xf borderId="0" fillId="0" fontId="6" numFmtId="0" xfId="0" applyAlignment="1" applyFont="1">
      <alignment shrinkToFit="0" vertical="bottom" wrapText="0"/>
    </xf>
    <xf borderId="18" fillId="0" fontId="7" numFmtId="0" xfId="0" applyAlignment="1" applyBorder="1" applyFont="1">
      <alignment shrinkToFit="0" vertical="center" wrapText="0"/>
    </xf>
    <xf borderId="30" fillId="0" fontId="15" numFmtId="0" xfId="0" applyAlignment="1" applyBorder="1" applyFont="1">
      <alignment horizontal="center" shrinkToFit="0" vertical="center" wrapText="0"/>
    </xf>
    <xf borderId="28" fillId="16" fontId="17" numFmtId="167" xfId="0" applyAlignment="1" applyBorder="1" applyFill="1" applyFont="1" applyNumberFormat="1">
      <alignment horizontal="center" shrinkToFit="0" vertical="center" wrapText="0"/>
    </xf>
    <xf borderId="28" fillId="17" fontId="18" numFmtId="165" xfId="0" applyAlignment="1" applyBorder="1" applyFill="1" applyFont="1" applyNumberFormat="1">
      <alignment horizontal="center" shrinkToFit="0" vertical="bottom" wrapText="0"/>
    </xf>
    <xf borderId="0" fillId="0" fontId="7" numFmtId="0" xfId="0" applyAlignment="1" applyFont="1">
      <alignment shrinkToFit="0" vertical="center" wrapText="0"/>
    </xf>
    <xf borderId="3" fillId="13" fontId="5" numFmtId="0" xfId="0" applyAlignment="1" applyBorder="1" applyFont="1">
      <alignment shrinkToFit="0" vertical="center" wrapText="0"/>
    </xf>
    <xf borderId="31" fillId="0" fontId="5" numFmtId="0" xfId="0" applyAlignment="1" applyBorder="1" applyFont="1">
      <alignment shrinkToFit="0" vertical="center" wrapText="0"/>
    </xf>
    <xf borderId="3" fillId="13" fontId="5" numFmtId="0" xfId="0" applyAlignment="1" applyBorder="1" applyFont="1">
      <alignment readingOrder="0" shrinkToFit="0" vertical="center" wrapText="0"/>
    </xf>
    <xf borderId="1" fillId="13" fontId="5" numFmtId="0" xfId="0" applyAlignment="1" applyBorder="1" applyFont="1">
      <alignment readingOrder="0" shrinkToFit="0" vertical="center" wrapText="0"/>
    </xf>
    <xf borderId="3" fillId="13" fontId="5" numFmtId="164" xfId="0" applyAlignment="1" applyBorder="1" applyFont="1" applyNumberFormat="1">
      <alignment readingOrder="0" shrinkToFit="0" vertical="center" wrapText="0"/>
    </xf>
    <xf borderId="31" fillId="0" fontId="5" numFmtId="0" xfId="0" applyAlignment="1" applyBorder="1" applyFont="1">
      <alignment shrinkToFit="0" vertical="center" wrapText="1"/>
    </xf>
    <xf borderId="1" fillId="13" fontId="5" numFmtId="0" xfId="0" applyAlignment="1" applyBorder="1" applyFont="1">
      <alignment shrinkToFit="0" vertical="center" wrapText="0"/>
    </xf>
    <xf borderId="1" fillId="13" fontId="5" numFmtId="164" xfId="0" applyAlignment="1" applyBorder="1" applyFont="1" applyNumberFormat="1">
      <alignment readingOrder="0" shrinkToFit="0" vertical="center" wrapText="0"/>
    </xf>
    <xf borderId="28" fillId="16" fontId="13" numFmtId="0" xfId="0" applyAlignment="1" applyBorder="1" applyFont="1">
      <alignment horizontal="center" shrinkToFit="0" vertical="center" wrapText="0"/>
    </xf>
    <xf borderId="32" fillId="0" fontId="5" numFmtId="164" xfId="0" applyAlignment="1" applyBorder="1" applyFont="1" applyNumberFormat="1">
      <alignment shrinkToFit="0" vertical="center" wrapText="0"/>
    </xf>
    <xf borderId="33" fillId="0" fontId="8" numFmtId="0" xfId="0" applyBorder="1" applyFont="1"/>
    <xf borderId="0" fillId="18" fontId="2" numFmtId="0" xfId="0" applyAlignment="1" applyFill="1" applyFont="1">
      <alignment horizontal="left" shrinkToFit="0" vertical="center" wrapText="0"/>
    </xf>
    <xf borderId="1" fillId="0" fontId="7" numFmtId="0" xfId="0" applyAlignment="1" applyBorder="1" applyFont="1">
      <alignment shrinkToFit="0" vertical="center" wrapText="0"/>
    </xf>
    <xf borderId="34" fillId="0" fontId="8" numFmtId="0" xfId="0" applyBorder="1" applyFont="1"/>
    <xf borderId="28" fillId="16" fontId="17" numFmtId="166" xfId="0" applyAlignment="1" applyBorder="1" applyFont="1" applyNumberFormat="1">
      <alignment horizontal="center" shrinkToFit="0" vertical="center" wrapText="0"/>
    </xf>
    <xf borderId="32" fillId="7" fontId="5" numFmtId="164" xfId="0" applyAlignment="1" applyBorder="1" applyFont="1" applyNumberFormat="1">
      <alignment shrinkToFit="0" vertical="center" wrapText="0"/>
    </xf>
    <xf borderId="35" fillId="0" fontId="8" numFmtId="0" xfId="0" applyBorder="1" applyFont="1"/>
    <xf borderId="32" fillId="11" fontId="5" numFmtId="164" xfId="0" applyAlignment="1" applyBorder="1" applyFont="1" applyNumberFormat="1">
      <alignment shrinkToFit="0" vertical="center" wrapText="0"/>
    </xf>
    <xf borderId="19" fillId="0" fontId="5" numFmtId="0" xfId="0" applyAlignment="1" applyBorder="1" applyFont="1">
      <alignment shrinkToFit="0" vertical="center" wrapText="1"/>
    </xf>
    <xf borderId="28" fillId="16" fontId="17" numFmtId="168" xfId="0" applyAlignment="1" applyBorder="1" applyFont="1" applyNumberFormat="1">
      <alignment horizontal="center" shrinkToFit="0" vertical="center" wrapText="0"/>
    </xf>
    <xf borderId="32" fillId="19" fontId="5" numFmtId="164" xfId="0" applyAlignment="1" applyBorder="1" applyFill="1" applyFont="1" applyNumberFormat="1">
      <alignment shrinkToFit="0" vertical="center" wrapText="0"/>
    </xf>
    <xf borderId="32" fillId="14" fontId="5" numFmtId="166" xfId="0" applyAlignment="1" applyBorder="1" applyFont="1" applyNumberFormat="1">
      <alignment shrinkToFit="0" vertical="center" wrapText="0"/>
    </xf>
    <xf borderId="0" fillId="0" fontId="7" numFmtId="164" xfId="0" applyAlignment="1" applyFont="1" applyNumberFormat="1">
      <alignment shrinkToFit="0" vertical="center" wrapText="0"/>
    </xf>
    <xf borderId="1" fillId="4" fontId="7" numFmtId="0" xfId="0" applyAlignment="1" applyBorder="1" applyFont="1">
      <alignment shrinkToFit="0" vertical="center" wrapText="0"/>
    </xf>
    <xf borderId="1" fillId="0" fontId="5" numFmtId="164" xfId="0" applyAlignment="1" applyBorder="1" applyFont="1" applyNumberFormat="1">
      <alignment shrinkToFit="0" vertical="center" wrapText="0"/>
    </xf>
    <xf borderId="1" fillId="0" fontId="5" numFmtId="166" xfId="0" applyAlignment="1" applyBorder="1" applyFont="1" applyNumberFormat="1">
      <alignment shrinkToFit="0" vertical="center" wrapText="0"/>
    </xf>
    <xf borderId="1" fillId="6" fontId="19" numFmtId="9" xfId="0" applyAlignment="1" applyBorder="1" applyFont="1" applyNumberFormat="1">
      <alignment shrinkToFit="0" vertical="center" wrapText="0"/>
    </xf>
    <xf borderId="1" fillId="6" fontId="19" numFmtId="0" xfId="0" applyAlignment="1" applyBorder="1" applyFont="1">
      <alignment horizontal="center" shrinkToFit="0" vertical="center" wrapText="0"/>
    </xf>
    <xf borderId="1" fillId="0" fontId="5" numFmtId="0" xfId="0" applyAlignment="1" applyBorder="1" applyFont="1">
      <alignment shrinkToFit="0" vertical="center" wrapText="1"/>
    </xf>
    <xf borderId="1" fillId="0" fontId="20" numFmtId="164" xfId="0" applyAlignment="1" applyBorder="1" applyFont="1" applyNumberFormat="1">
      <alignment horizontal="center" shrinkToFit="0" vertical="center" wrapText="0"/>
    </xf>
    <xf borderId="1" fillId="0" fontId="5" numFmtId="164" xfId="0" applyAlignment="1" applyBorder="1" applyFont="1" applyNumberFormat="1">
      <alignment horizontal="center" shrinkToFit="0" vertical="center" wrapText="0"/>
    </xf>
    <xf borderId="8" fillId="0" fontId="20" numFmtId="0" xfId="0" applyAlignment="1" applyBorder="1" applyFont="1">
      <alignment horizontal="center" shrinkToFit="0" vertical="center" wrapText="0"/>
    </xf>
    <xf borderId="15" fillId="0" fontId="5" numFmtId="0" xfId="0" applyAlignment="1" applyBorder="1" applyFont="1">
      <alignment shrinkToFit="0" vertical="center" wrapText="1"/>
    </xf>
    <xf borderId="32" fillId="0" fontId="5" numFmtId="0" xfId="0" applyAlignment="1" applyBorder="1" applyFont="1">
      <alignment shrinkToFit="0" vertical="center" wrapText="1"/>
    </xf>
    <xf borderId="36" fillId="0" fontId="8" numFmtId="0" xfId="0" applyBorder="1" applyFont="1"/>
    <xf borderId="0" fillId="18" fontId="4" numFmtId="0" xfId="0" applyAlignment="1" applyFont="1">
      <alignment shrinkToFit="0" vertical="bottom" wrapText="0"/>
    </xf>
    <xf borderId="32" fillId="0" fontId="5" numFmtId="0" xfId="0" applyAlignment="1" applyBorder="1" applyFont="1">
      <alignment shrinkToFit="0" vertical="center" wrapText="0"/>
    </xf>
    <xf borderId="1" fillId="4" fontId="5" numFmtId="0" xfId="0" applyAlignment="1" applyBorder="1" applyFont="1">
      <alignment shrinkToFit="0" vertical="center" wrapText="0"/>
    </xf>
    <xf borderId="1" fillId="11" fontId="7" numFmtId="164" xfId="0" applyAlignment="1" applyBorder="1" applyFont="1" applyNumberFormat="1">
      <alignment shrinkToFit="0" vertical="center" wrapText="0"/>
    </xf>
    <xf borderId="1" fillId="5" fontId="5" numFmtId="166" xfId="0" applyAlignment="1" applyBorder="1" applyFont="1" applyNumberFormat="1">
      <alignment readingOrder="0" shrinkToFit="0" vertical="center" wrapText="0"/>
    </xf>
    <xf borderId="1" fillId="0" fontId="5" numFmtId="0" xfId="0" applyAlignment="1" applyBorder="1" applyFont="1">
      <alignment horizontal="center" shrinkToFit="0" vertical="center" wrapText="0"/>
    </xf>
    <xf borderId="1" fillId="5" fontId="5" numFmtId="166" xfId="0" applyAlignment="1" applyBorder="1" applyFont="1" applyNumberFormat="1">
      <alignment shrinkToFit="0" vertical="center" wrapText="0"/>
    </xf>
    <xf borderId="1" fillId="10" fontId="7" numFmtId="164" xfId="0" applyAlignment="1" applyBorder="1" applyFont="1" applyNumberFormat="1">
      <alignment shrinkToFit="0" vertical="center" wrapText="0"/>
    </xf>
    <xf borderId="0" fillId="0" fontId="21" numFmtId="0" xfId="0" applyAlignment="1" applyFont="1">
      <alignment horizontal="left" shrinkToFit="0" vertical="center" wrapText="0"/>
    </xf>
    <xf borderId="1" fillId="13" fontId="7" numFmtId="169" xfId="0" applyAlignment="1" applyBorder="1" applyFont="1" applyNumberFormat="1">
      <alignment shrinkToFit="0" vertical="center" wrapText="0"/>
    </xf>
    <xf borderId="1" fillId="0" fontId="22" numFmtId="0" xfId="0" applyAlignment="1" applyBorder="1" applyFont="1">
      <alignment shrinkToFit="0" vertical="center" wrapText="0"/>
    </xf>
    <xf borderId="1" fillId="13" fontId="15" numFmtId="164" xfId="0" applyAlignment="1" applyBorder="1" applyFont="1" applyNumberFormat="1">
      <alignment shrinkToFit="0" vertical="center" wrapText="0"/>
    </xf>
    <xf borderId="1" fillId="7" fontId="7" numFmtId="164" xfId="0" applyAlignment="1" applyBorder="1" applyFont="1" applyNumberFormat="1">
      <alignment shrinkToFit="0" vertical="center" wrapText="0"/>
    </xf>
    <xf borderId="37" fillId="4" fontId="7" numFmtId="0" xfId="0" applyAlignment="1" applyBorder="1" applyFont="1">
      <alignment shrinkToFit="0" vertical="center" wrapText="0"/>
    </xf>
    <xf borderId="1" fillId="0" fontId="14" numFmtId="164" xfId="0" applyAlignment="1" applyBorder="1" applyFont="1" applyNumberFormat="1">
      <alignment shrinkToFit="0" vertical="center" wrapText="0"/>
    </xf>
    <xf borderId="37" fillId="0" fontId="5" numFmtId="1" xfId="0" applyAlignment="1" applyBorder="1" applyFont="1" applyNumberFormat="1">
      <alignment horizontal="center" shrinkToFit="0" vertical="center" wrapText="0"/>
    </xf>
    <xf borderId="1" fillId="13" fontId="7" numFmtId="164" xfId="0" applyAlignment="1" applyBorder="1" applyFont="1" applyNumberFormat="1">
      <alignment shrinkToFit="0" vertical="center" wrapText="0"/>
    </xf>
    <xf borderId="9" fillId="0" fontId="5" numFmtId="0" xfId="0" applyAlignment="1" applyBorder="1" applyFont="1">
      <alignment shrinkToFit="0" vertical="center" wrapText="1"/>
    </xf>
    <xf borderId="37" fillId="0" fontId="5" numFmtId="170" xfId="0" applyAlignment="1" applyBorder="1" applyFont="1" applyNumberFormat="1">
      <alignment shrinkToFit="0" vertical="center" wrapText="0"/>
    </xf>
    <xf borderId="1" fillId="5" fontId="5" numFmtId="0" xfId="0" applyAlignment="1" applyBorder="1" applyFont="1">
      <alignment horizontal="center" shrinkToFit="0" vertical="center" wrapText="0"/>
    </xf>
    <xf borderId="1" fillId="0" fontId="7" numFmtId="164" xfId="0" applyAlignment="1" applyBorder="1" applyFont="1" applyNumberFormat="1">
      <alignment shrinkToFit="0" vertical="center" wrapText="0"/>
    </xf>
    <xf borderId="1" fillId="0" fontId="7" numFmtId="166" xfId="0" applyAlignment="1" applyBorder="1" applyFont="1" applyNumberFormat="1">
      <alignment shrinkToFit="0" vertical="center" wrapText="0"/>
    </xf>
    <xf borderId="1" fillId="0" fontId="5" numFmtId="171" xfId="0" applyAlignment="1" applyBorder="1" applyFont="1" applyNumberFormat="1">
      <alignment shrinkToFit="0" vertical="center" wrapText="0"/>
    </xf>
    <xf borderId="1" fillId="5" fontId="5" numFmtId="0" xfId="0" applyAlignment="1" applyBorder="1" applyFont="1">
      <alignment horizontal="center" readingOrder="0" shrinkToFit="0" vertical="center" wrapText="0"/>
    </xf>
    <xf borderId="1" fillId="0" fontId="7" numFmtId="0" xfId="0" applyAlignment="1" applyBorder="1" applyFont="1">
      <alignment horizontal="right" shrinkToFit="0" vertical="center" wrapText="0"/>
    </xf>
    <xf borderId="1" fillId="0" fontId="5" numFmtId="167" xfId="0" applyAlignment="1" applyBorder="1" applyFont="1" applyNumberFormat="1">
      <alignment shrinkToFit="0" vertical="center" wrapText="0"/>
    </xf>
    <xf borderId="1" fillId="5" fontId="5" numFmtId="167" xfId="0" applyAlignment="1" applyBorder="1" applyFont="1" applyNumberFormat="1">
      <alignment shrinkToFit="0" vertical="center" wrapText="0"/>
    </xf>
    <xf borderId="0" fillId="0" fontId="23" numFmtId="0" xfId="0" applyAlignment="1" applyFont="1">
      <alignment shrinkToFit="0" vertical="bottom" wrapText="0"/>
    </xf>
    <xf borderId="0" fillId="0" fontId="24" numFmtId="0" xfId="0" applyAlignment="1" applyFont="1">
      <alignment shrinkToFit="0" vertical="bottom" wrapText="0"/>
    </xf>
    <xf borderId="38" fillId="0" fontId="25" numFmtId="0" xfId="0" applyAlignment="1" applyBorder="1" applyFont="1">
      <alignment shrinkToFit="0" vertical="center" wrapText="1"/>
    </xf>
    <xf borderId="38" fillId="0" fontId="1" numFmtId="0" xfId="0" applyAlignment="1" applyBorder="1" applyFont="1">
      <alignment shrinkToFit="0" vertical="center" wrapText="1"/>
    </xf>
    <xf borderId="38" fillId="0" fontId="25" numFmtId="0" xfId="0" applyAlignment="1" applyBorder="1" applyFont="1">
      <alignment shrinkToFit="0" vertical="center" wrapText="0"/>
    </xf>
    <xf borderId="39" fillId="0" fontId="1" numFmtId="0" xfId="0" applyAlignment="1" applyBorder="1" applyFont="1">
      <alignment shrinkToFit="0" vertical="center" wrapText="1"/>
    </xf>
    <xf borderId="40" fillId="0" fontId="8" numFmtId="0" xfId="0" applyBorder="1" applyFont="1"/>
    <xf borderId="41" fillId="0" fontId="8" numFmtId="0" xfId="0" applyBorder="1" applyFont="1"/>
    <xf borderId="0" fillId="0" fontId="1" numFmtId="0" xfId="0" applyAlignment="1" applyFont="1">
      <alignment shrinkToFit="0" vertical="center" wrapText="0"/>
    </xf>
    <xf borderId="39" fillId="0" fontId="1" numFmtId="0" xfId="0" applyAlignment="1" applyBorder="1" applyFont="1">
      <alignment shrinkToFit="0" vertical="bottom" wrapText="1"/>
    </xf>
    <xf borderId="0" fillId="0" fontId="25" numFmtId="0" xfId="0" applyAlignment="1" applyFont="1">
      <alignment shrinkToFit="0" vertical="bottom" wrapText="0"/>
    </xf>
    <xf borderId="0" fillId="0" fontId="1" numFmtId="0" xfId="0" applyAlignment="1" applyFont="1">
      <alignment shrinkToFit="0" vertical="top" wrapText="1"/>
    </xf>
    <xf borderId="1" fillId="0" fontId="7" numFmtId="0" xfId="0" applyAlignment="1" applyBorder="1" applyFont="1">
      <alignment horizontal="center" shrinkToFit="0" vertical="center" wrapText="0"/>
    </xf>
    <xf borderId="42" fillId="0" fontId="8" numFmtId="0" xfId="0" applyBorder="1" applyFont="1"/>
    <xf borderId="43" fillId="0" fontId="8" numFmtId="0" xfId="0" applyBorder="1" applyFont="1"/>
    <xf borderId="44" fillId="0" fontId="5" numFmtId="0" xfId="0" applyAlignment="1" applyBorder="1" applyFont="1">
      <alignment horizontal="left" shrinkToFit="0" vertical="center" wrapText="1"/>
    </xf>
    <xf borderId="30" fillId="0" fontId="8" numFmtId="0" xfId="0" applyBorder="1" applyFont="1"/>
    <xf borderId="45" fillId="0" fontId="8" numFmtId="0" xfId="0" applyBorder="1" applyFont="1"/>
    <xf borderId="46" fillId="0" fontId="8" numFmtId="0" xfId="0" applyBorder="1" applyFont="1"/>
    <xf borderId="32" fillId="0" fontId="5" numFmtId="0" xfId="0" applyAlignment="1" applyBorder="1" applyFont="1">
      <alignment horizontal="left" shrinkToFit="0" vertical="center" wrapText="1"/>
    </xf>
    <xf borderId="1" fillId="0" fontId="26" numFmtId="0" xfId="0" applyAlignment="1" applyBorder="1" applyFont="1">
      <alignment horizontal="left" shrinkToFit="0" vertical="center" wrapText="1"/>
    </xf>
    <xf borderId="44" fillId="0" fontId="27" numFmtId="0" xfId="0" applyAlignment="1" applyBorder="1" applyFont="1">
      <alignment horizontal="left" shrinkToFit="0" vertical="center" wrapText="1"/>
    </xf>
    <xf borderId="0" fillId="3" fontId="2" numFmtId="0" xfId="0" applyAlignment="1" applyFont="1">
      <alignment shrinkToFit="0" vertical="center" wrapText="0"/>
    </xf>
    <xf borderId="1" fillId="13" fontId="15" numFmtId="167" xfId="0" applyAlignment="1" applyBorder="1" applyFont="1" applyNumberFormat="1">
      <alignment shrinkToFit="0" vertical="center" wrapText="0"/>
    </xf>
    <xf borderId="0" fillId="2" fontId="4" numFmtId="0" xfId="0" applyAlignment="1" applyFont="1">
      <alignment shrinkToFit="0" vertical="bottom" wrapText="0"/>
    </xf>
    <xf borderId="0" fillId="2" fontId="28" numFmtId="0" xfId="0" applyAlignment="1" applyFont="1">
      <alignment shrinkToFit="0" vertical="bottom" wrapText="0"/>
    </xf>
    <xf borderId="1" fillId="0" fontId="29" numFmtId="0" xfId="0" applyAlignment="1" applyBorder="1" applyFont="1">
      <alignment shrinkToFit="0" vertical="bottom" wrapText="0"/>
    </xf>
    <xf borderId="1" fillId="20" fontId="29" numFmtId="172" xfId="0" applyAlignment="1" applyBorder="1" applyFill="1" applyFont="1" applyNumberFormat="1">
      <alignment readingOrder="0" shrinkToFit="0" vertical="bottom" wrapText="0"/>
    </xf>
    <xf borderId="1" fillId="21" fontId="29" numFmtId="173" xfId="0" applyAlignment="1" applyBorder="1" applyFill="1" applyFont="1" applyNumberFormat="1">
      <alignment shrinkToFit="0" vertical="bottom" wrapText="0"/>
    </xf>
    <xf borderId="1" fillId="21" fontId="29" numFmtId="1" xfId="0" applyAlignment="1" applyBorder="1" applyFont="1" applyNumberFormat="1">
      <alignment shrinkToFit="0" vertical="bottom" wrapText="0"/>
    </xf>
    <xf borderId="1" fillId="20" fontId="29" numFmtId="166" xfId="0" applyAlignment="1" applyBorder="1" applyFont="1" applyNumberFormat="1">
      <alignment readingOrder="0" shrinkToFit="0" vertical="bottom" wrapText="0"/>
    </xf>
    <xf borderId="1" fillId="21" fontId="29" numFmtId="172" xfId="0" applyAlignment="1" applyBorder="1" applyFont="1" applyNumberFormat="1">
      <alignment shrinkToFit="0" vertical="bottom" wrapText="0"/>
    </xf>
    <xf borderId="0" fillId="0" fontId="30" numFmtId="0" xfId="0" applyFont="1"/>
    <xf borderId="1" fillId="20" fontId="29" numFmtId="1" xfId="0" applyAlignment="1" applyBorder="1" applyFont="1" applyNumberFormat="1">
      <alignment readingOrder="0" shrinkToFit="0" vertical="bottom" wrapText="0"/>
    </xf>
    <xf borderId="44" fillId="9" fontId="31" numFmtId="0" xfId="0" applyAlignment="1" applyBorder="1" applyFont="1">
      <alignment shrinkToFit="0" vertical="center" wrapText="1"/>
    </xf>
    <xf borderId="47" fillId="0" fontId="8" numFmtId="0" xfId="0" applyBorder="1" applyFont="1"/>
    <xf borderId="48" fillId="0" fontId="8" numFmtId="0" xfId="0" applyBorder="1" applyFont="1"/>
    <xf borderId="0" fillId="0" fontId="32" numFmtId="0" xfId="0" applyAlignment="1" applyFont="1">
      <alignment shrinkToFit="0" vertical="center" wrapText="1"/>
    </xf>
    <xf borderId="38" fillId="4" fontId="33" numFmtId="0" xfId="0" applyAlignment="1" applyBorder="1" applyFont="1">
      <alignment shrinkToFit="0" vertical="bottom" wrapText="0"/>
    </xf>
    <xf borderId="49" fillId="0" fontId="29" numFmtId="1" xfId="0" applyAlignment="1" applyBorder="1" applyFont="1" applyNumberFormat="1">
      <alignment shrinkToFit="0" vertical="bottom" wrapText="0"/>
    </xf>
    <xf borderId="49" fillId="0" fontId="29" numFmtId="172" xfId="0" applyAlignment="1" applyBorder="1" applyFont="1" applyNumberFormat="1">
      <alignment shrinkToFit="0" vertical="bottom" wrapText="0"/>
    </xf>
    <xf borderId="4" fillId="0" fontId="29" numFmtId="1" xfId="0" applyAlignment="1" applyBorder="1" applyFont="1" applyNumberFormat="1">
      <alignment shrinkToFit="0" vertical="bottom" wrapText="0"/>
    </xf>
    <xf borderId="4" fillId="0" fontId="29" numFmtId="172" xfId="0" applyAlignment="1" applyBorder="1" applyFont="1" applyNumberFormat="1">
      <alignment shrinkToFit="0" vertical="bottom" wrapText="0"/>
    </xf>
  </cellXfs>
  <cellStyles count="1">
    <cellStyle xfId="0" name="Normal" builtinId="0"/>
  </cellStyles>
  <dxfs count="13">
    <dxf>
      <font>
        <sz val="10.0"/>
        <color rgb="FF9AA3A8"/>
        <name val="Arial"/>
      </font>
      <fill>
        <patternFill patternType="none"/>
      </fill>
      <border/>
    </dxf>
    <dxf>
      <font/>
      <fill>
        <patternFill patternType="solid">
          <fgColor rgb="FFC6EFCE"/>
          <bgColor rgb="FFC6EFCE"/>
        </patternFill>
      </fill>
      <border/>
    </dxf>
    <dxf>
      <font/>
      <fill>
        <patternFill patternType="solid">
          <fgColor rgb="FFFFC7CE"/>
          <bgColor rgb="FFFFC7CE"/>
        </patternFill>
      </fill>
      <border/>
    </dxf>
    <dxf>
      <font/>
      <fill>
        <patternFill patternType="solid">
          <fgColor rgb="FFF2F2F2"/>
          <bgColor rgb="FFF2F2F2"/>
        </patternFill>
      </fill>
      <border/>
    </dxf>
    <dxf>
      <font/>
      <fill>
        <patternFill patternType="solid">
          <fgColor rgb="FFD9D2E9"/>
          <bgColor rgb="FFD9D2E9"/>
        </patternFill>
      </fill>
      <border/>
    </dxf>
    <dxf>
      <font/>
      <fill>
        <patternFill patternType="solid">
          <fgColor rgb="FFFFFF00"/>
          <bgColor rgb="FFFFFF00"/>
        </patternFill>
      </fill>
      <border/>
    </dxf>
    <dxf>
      <font/>
      <fill>
        <patternFill patternType="solid">
          <fgColor rgb="FFB7E1CD"/>
          <bgColor rgb="FFB7E1CD"/>
        </patternFill>
      </fill>
      <border/>
    </dxf>
    <dxf>
      <font/>
      <fill>
        <patternFill patternType="solid">
          <fgColor rgb="FFF7C8CF"/>
          <bgColor rgb="FFF7C8CF"/>
        </patternFill>
      </fill>
      <border/>
    </dxf>
    <dxf>
      <font>
        <color rgb="FF000000"/>
      </font>
      <fill>
        <patternFill patternType="solid">
          <fgColor rgb="FFF0C9CF"/>
          <bgColor rgb="FFF0C9CF"/>
        </patternFill>
      </fill>
      <border/>
    </dxf>
    <dxf>
      <font/>
      <fill>
        <patternFill patternType="solid">
          <fgColor rgb="FFFFE599"/>
          <bgColor rgb="FFFFE599"/>
        </patternFill>
      </fill>
      <border/>
    </dxf>
    <dxf>
      <font>
        <b/>
        <sz val="10.0"/>
        <color rgb="FF1E5A38"/>
        <name val="Arial"/>
      </font>
      <fill>
        <patternFill patternType="none"/>
      </fill>
      <border/>
    </dxf>
    <dxf>
      <font>
        <b/>
        <sz val="10.0"/>
        <color rgb="FF8A2E27"/>
        <name val="Arial"/>
      </font>
      <fill>
        <patternFill patternType="none"/>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Monthly Cash Flow Overview</a:t>
            </a:r>
          </a:p>
        </c:rich>
      </c:tx>
      <c:overlay val="0"/>
    </c:title>
    <c:plotArea>
      <c:layout/>
      <c:pieChart>
        <c:varyColors val="1"/>
        <c:ser>
          <c:idx val="0"/>
          <c:order val="0"/>
          <c:dPt>
            <c:idx val="0"/>
            <c:spPr>
              <a:solidFill>
                <a:srgbClr val="4F81BD"/>
              </a:solidFill>
            </c:spPr>
          </c:dPt>
          <c:dPt>
            <c:idx val="1"/>
            <c:spPr>
              <a:solidFill>
                <a:srgbClr val="C0504D"/>
              </a:solidFill>
            </c:spPr>
          </c:dPt>
          <c:dPt>
            <c:idx val="2"/>
            <c:spPr>
              <a:solidFill>
                <a:srgbClr val="9BBB59"/>
              </a:solidFill>
            </c:spPr>
          </c:dPt>
          <c:dPt>
            <c:idx val="3"/>
            <c:spPr>
              <a:solidFill>
                <a:srgbClr val="8064A2"/>
              </a:solidFill>
            </c:spPr>
          </c:dPt>
          <c:dLbls>
            <c:dLbl>
              <c:idx val="0"/>
              <c:txPr>
                <a:bodyPr/>
                <a:lstStyle/>
                <a:p>
                  <a:pPr lvl="0">
                    <a:defRPr b="0" i="0" sz="1000">
                      <a:solidFill>
                        <a:srgbClr val="000000"/>
                      </a:solidFill>
                      <a:latin typeface="Calibri"/>
                    </a:defRPr>
                  </a:pPr>
                </a:p>
              </c:txPr>
              <c:showLegendKey val="0"/>
              <c:showVal val="0"/>
              <c:showCatName val="0"/>
              <c:showSerName val="0"/>
              <c:showPercent val="1"/>
              <c:showBubbleSize val="0"/>
            </c:dLbl>
            <c:dLbl>
              <c:idx val="1"/>
              <c:txPr>
                <a:bodyPr/>
                <a:lstStyle/>
                <a:p>
                  <a:pPr lvl="0">
                    <a:defRPr b="0" i="0" sz="1000">
                      <a:solidFill>
                        <a:srgbClr val="000000"/>
                      </a:solidFill>
                      <a:latin typeface="Calibri"/>
                    </a:defRPr>
                  </a:pPr>
                </a:p>
              </c:txPr>
              <c:showLegendKey val="0"/>
              <c:showVal val="0"/>
              <c:showCatName val="0"/>
              <c:showSerName val="0"/>
              <c:showPercent val="1"/>
              <c:showBubbleSize val="0"/>
            </c:dLbl>
            <c:dLbl>
              <c:idx val="2"/>
              <c:txPr>
                <a:bodyPr/>
                <a:lstStyle/>
                <a:p>
                  <a:pPr lvl="0">
                    <a:defRPr b="0" i="0" sz="1000">
                      <a:solidFill>
                        <a:srgbClr val="000000"/>
                      </a:solidFill>
                      <a:latin typeface="Calibri"/>
                    </a:defRPr>
                  </a:pPr>
                </a:p>
              </c:txPr>
              <c:showLegendKey val="0"/>
              <c:showVal val="0"/>
              <c:showCatName val="0"/>
              <c:showSerName val="0"/>
              <c:showPercent val="1"/>
              <c:showBubbleSize val="0"/>
            </c:dLbl>
            <c:dLbl>
              <c:idx val="3"/>
              <c:txPr>
                <a:bodyPr/>
                <a:lstStyle/>
                <a:p>
                  <a:pPr lvl="0">
                    <a:defRPr b="0" i="0" sz="1000">
                      <a:solidFill>
                        <a:srgbClr val="000000"/>
                      </a:solidFill>
                      <a:latin typeface="Calibri"/>
                    </a:defRPr>
                  </a:pPr>
                </a:p>
              </c:txPr>
              <c:showLegendKey val="0"/>
              <c:showVal val="0"/>
              <c:showCatName val="0"/>
              <c:showSerName val="0"/>
              <c:showPercent val="1"/>
              <c:showBubbleSize val="0"/>
            </c:dLbl>
            <c:showLegendKey val="0"/>
            <c:showVal val="0"/>
            <c:showCatName val="0"/>
            <c:showSerName val="0"/>
            <c:showPercent val="1"/>
            <c:showBubbleSize val="0"/>
            <c:showLeaderLines val="1"/>
          </c:dLbls>
          <c:val>
            <c:numRef>
              <c:f>'Budget Input'!$I$5:$I$8</c:f>
              <c:numCache/>
            </c:numRef>
          </c:val>
        </c:ser>
        <c:dLbls>
          <c:showLegendKey val="0"/>
          <c:showVal val="0"/>
          <c:showCatName val="0"/>
          <c:showSerName val="0"/>
          <c:showPercent val="0"/>
          <c:showBubbleSize val="0"/>
        </c:dLbls>
        <c:firstSliceAng val="0"/>
      </c:pieChart>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Where Your Expenses Go</a:t>
            </a:r>
          </a:p>
        </c:rich>
      </c:tx>
      <c:overlay val="0"/>
    </c:title>
    <c:plotArea>
      <c:layout/>
      <c:pieChart>
        <c:varyColors val="1"/>
        <c:ser>
          <c:idx val="0"/>
          <c:order val="0"/>
          <c:dPt>
            <c:idx val="0"/>
            <c:spPr>
              <a:solidFill>
                <a:srgbClr val="4672A8"/>
              </a:solidFill>
            </c:spPr>
          </c:dPt>
          <c:dPt>
            <c:idx val="1"/>
            <c:spPr>
              <a:solidFill>
                <a:srgbClr val="AB4744"/>
              </a:solidFill>
            </c:spPr>
          </c:dPt>
          <c:dPt>
            <c:idx val="2"/>
            <c:spPr>
              <a:solidFill>
                <a:srgbClr val="8AA64F"/>
              </a:solidFill>
            </c:spPr>
          </c:dPt>
          <c:dPt>
            <c:idx val="3"/>
            <c:spPr>
              <a:solidFill>
                <a:srgbClr val="725990"/>
              </a:solidFill>
            </c:spPr>
          </c:dPt>
          <c:dPt>
            <c:idx val="4"/>
            <c:spPr>
              <a:solidFill>
                <a:srgbClr val="4299B0"/>
              </a:solidFill>
            </c:spPr>
          </c:dPt>
          <c:dPt>
            <c:idx val="5"/>
            <c:spPr>
              <a:solidFill>
                <a:srgbClr val="DC853E"/>
              </a:solidFill>
            </c:spPr>
          </c:dPt>
          <c:dPt>
            <c:idx val="6"/>
            <c:spPr>
              <a:solidFill>
                <a:srgbClr val="93A9CE"/>
              </a:solidFill>
            </c:spPr>
          </c:dPt>
          <c:dPt>
            <c:idx val="7"/>
            <c:spPr>
              <a:solidFill>
                <a:srgbClr val="D09493"/>
              </a:solidFill>
            </c:spPr>
          </c:dPt>
          <c:dPt>
            <c:idx val="8"/>
            <c:spPr>
              <a:solidFill>
                <a:srgbClr val="B8CD97"/>
              </a:solidFill>
            </c:spPr>
          </c:dPt>
          <c:dLbls>
            <c:dLbl>
              <c:idx val="0"/>
              <c:txPr>
                <a:bodyPr/>
                <a:lstStyle/>
                <a:p>
                  <a:pPr lvl="0">
                    <a:defRPr b="0" i="0" sz="1000">
                      <a:solidFill>
                        <a:srgbClr val="000000"/>
                      </a:solidFill>
                      <a:latin typeface="Calibri"/>
                    </a:defRPr>
                  </a:pPr>
                </a:p>
              </c:txPr>
              <c:showLegendKey val="0"/>
              <c:showVal val="0"/>
              <c:showCatName val="0"/>
              <c:showSerName val="0"/>
              <c:showPercent val="1"/>
              <c:showBubbleSize val="0"/>
            </c:dLbl>
            <c:dLbl>
              <c:idx val="1"/>
              <c:txPr>
                <a:bodyPr/>
                <a:lstStyle/>
                <a:p>
                  <a:pPr lvl="0">
                    <a:defRPr b="0" i="0" sz="1000">
                      <a:solidFill>
                        <a:srgbClr val="000000"/>
                      </a:solidFill>
                      <a:latin typeface="Calibri"/>
                    </a:defRPr>
                  </a:pPr>
                </a:p>
              </c:txPr>
              <c:showLegendKey val="0"/>
              <c:showVal val="0"/>
              <c:showCatName val="0"/>
              <c:showSerName val="0"/>
              <c:showPercent val="1"/>
              <c:showBubbleSize val="0"/>
            </c:dLbl>
            <c:dLbl>
              <c:idx val="2"/>
              <c:txPr>
                <a:bodyPr/>
                <a:lstStyle/>
                <a:p>
                  <a:pPr lvl="0">
                    <a:defRPr b="0" i="0" sz="1000">
                      <a:solidFill>
                        <a:srgbClr val="000000"/>
                      </a:solidFill>
                      <a:latin typeface="Calibri"/>
                    </a:defRPr>
                  </a:pPr>
                </a:p>
              </c:txPr>
              <c:showLegendKey val="0"/>
              <c:showVal val="0"/>
              <c:showCatName val="0"/>
              <c:showSerName val="0"/>
              <c:showPercent val="1"/>
              <c:showBubbleSize val="0"/>
            </c:dLbl>
            <c:dLbl>
              <c:idx val="3"/>
              <c:txPr>
                <a:bodyPr/>
                <a:lstStyle/>
                <a:p>
                  <a:pPr lvl="0">
                    <a:defRPr b="0" i="0" sz="1000">
                      <a:solidFill>
                        <a:srgbClr val="000000"/>
                      </a:solidFill>
                      <a:latin typeface="Calibri"/>
                    </a:defRPr>
                  </a:pPr>
                </a:p>
              </c:txPr>
              <c:showLegendKey val="0"/>
              <c:showVal val="0"/>
              <c:showCatName val="0"/>
              <c:showSerName val="0"/>
              <c:showPercent val="1"/>
              <c:showBubbleSize val="0"/>
            </c:dLbl>
            <c:dLbl>
              <c:idx val="4"/>
              <c:txPr>
                <a:bodyPr/>
                <a:lstStyle/>
                <a:p>
                  <a:pPr lvl="0">
                    <a:defRPr b="0" i="0" sz="1000">
                      <a:solidFill>
                        <a:srgbClr val="000000"/>
                      </a:solidFill>
                      <a:latin typeface="Calibri"/>
                    </a:defRPr>
                  </a:pPr>
                </a:p>
              </c:txPr>
              <c:showLegendKey val="0"/>
              <c:showVal val="0"/>
              <c:showCatName val="0"/>
              <c:showSerName val="0"/>
              <c:showPercent val="1"/>
              <c:showBubbleSize val="0"/>
            </c:dLbl>
            <c:dLbl>
              <c:idx val="5"/>
              <c:txPr>
                <a:bodyPr/>
                <a:lstStyle/>
                <a:p>
                  <a:pPr lvl="0">
                    <a:defRPr b="0" i="0" sz="1000">
                      <a:solidFill>
                        <a:srgbClr val="000000"/>
                      </a:solidFill>
                      <a:latin typeface="Calibri"/>
                    </a:defRPr>
                  </a:pPr>
                </a:p>
              </c:txPr>
              <c:showLegendKey val="0"/>
              <c:showVal val="0"/>
              <c:showCatName val="0"/>
              <c:showSerName val="0"/>
              <c:showPercent val="1"/>
              <c:showBubbleSize val="0"/>
            </c:dLbl>
            <c:dLbl>
              <c:idx val="6"/>
              <c:txPr>
                <a:bodyPr/>
                <a:lstStyle/>
                <a:p>
                  <a:pPr lvl="0">
                    <a:defRPr b="0" i="0" sz="1000">
                      <a:solidFill>
                        <a:srgbClr val="000000"/>
                      </a:solidFill>
                      <a:latin typeface="Calibri"/>
                    </a:defRPr>
                  </a:pPr>
                </a:p>
              </c:txPr>
              <c:showLegendKey val="0"/>
              <c:showVal val="0"/>
              <c:showCatName val="0"/>
              <c:showSerName val="0"/>
              <c:showPercent val="1"/>
              <c:showBubbleSize val="0"/>
            </c:dLbl>
            <c:dLbl>
              <c:idx val="7"/>
              <c:txPr>
                <a:bodyPr/>
                <a:lstStyle/>
                <a:p>
                  <a:pPr lvl="0">
                    <a:defRPr b="0" i="0" sz="1000">
                      <a:solidFill>
                        <a:srgbClr val="000000"/>
                      </a:solidFill>
                      <a:latin typeface="Calibri"/>
                    </a:defRPr>
                  </a:pPr>
                </a:p>
              </c:txPr>
              <c:showLegendKey val="0"/>
              <c:showVal val="0"/>
              <c:showCatName val="0"/>
              <c:showSerName val="0"/>
              <c:showPercent val="1"/>
              <c:showBubbleSize val="0"/>
            </c:dLbl>
            <c:dLbl>
              <c:idx val="8"/>
              <c:txPr>
                <a:bodyPr/>
                <a:lstStyle/>
                <a:p>
                  <a:pPr lvl="0">
                    <a:defRPr b="0" i="0" sz="1000">
                      <a:solidFill>
                        <a:srgbClr val="000000"/>
                      </a:solidFill>
                      <a:latin typeface="Calibri"/>
                    </a:defRPr>
                  </a:pPr>
                </a:p>
              </c:txPr>
              <c:showLegendKey val="0"/>
              <c:showVal val="0"/>
              <c:showCatName val="0"/>
              <c:showSerName val="0"/>
              <c:showPercent val="1"/>
              <c:showBubbleSize val="0"/>
            </c:dLbl>
            <c:showLegendKey val="0"/>
            <c:showVal val="0"/>
            <c:showCatName val="0"/>
            <c:showSerName val="0"/>
            <c:showPercent val="1"/>
            <c:showBubbleSize val="0"/>
            <c:showLeaderLines val="1"/>
          </c:dLbls>
          <c:val>
            <c:numRef>
              <c:f>Feedback!$C$11:$C$19</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Spending vs. Recommended Guideline (% of Income)</a:t>
            </a:r>
          </a:p>
        </c:rich>
      </c:tx>
      <c:overlay val="0"/>
    </c:title>
    <c:plotArea>
      <c:layout/>
      <c:barChart>
        <c:barDir val="col"/>
        <c:ser>
          <c:idx val="0"/>
          <c:order val="0"/>
          <c:tx>
            <c:v>% of Income</c:v>
          </c:tx>
          <c:spPr>
            <a:solidFill>
              <a:srgbClr val="1F7A4B"/>
            </a:solidFill>
            <a:ln cmpd="sng">
              <a:noFill/>
            </a:ln>
          </c:spPr>
          <c:val>
            <c:numRef>
              <c:f>Feedback!$D$11:$D$19</c:f>
              <c:numCache/>
            </c:numRef>
          </c:val>
        </c:ser>
        <c:ser>
          <c:idx val="1"/>
          <c:order val="1"/>
          <c:tx>
            <c:v>Benchmark</c:v>
          </c:tx>
          <c:spPr>
            <a:solidFill>
              <a:srgbClr val="54818E"/>
            </a:solidFill>
            <a:ln cmpd="sng">
              <a:noFill/>
            </a:ln>
          </c:spPr>
          <c:val>
            <c:numRef>
              <c:f>Feedback!$E$11:$E$19</c:f>
              <c:numCache/>
            </c:numRef>
          </c:val>
        </c:ser>
        <c:axId val="1582909328"/>
        <c:axId val="1991191989"/>
      </c:barChart>
      <c:catAx>
        <c:axId val="15829093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991191989"/>
      </c:catAx>
      <c:valAx>
        <c:axId val="1991191989"/>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of income</a:t>
                </a:r>
              </a:p>
            </c:rich>
          </c:tx>
          <c:overlay val="0"/>
        </c:title>
        <c:numFmt formatCode="0%" sourceLinked="0"/>
        <c:majorTickMark val="none"/>
        <c:minorTickMark val="none"/>
        <c:tickLblPos val="nextTo"/>
        <c:spPr>
          <a:ln>
            <a:noFill/>
          </a:ln>
        </c:spPr>
        <c:txPr>
          <a:bodyPr/>
          <a:lstStyle/>
          <a:p>
            <a:pPr lvl="0">
              <a:defRPr b="0" i="0" sz="1000">
                <a:solidFill>
                  <a:srgbClr val="000000"/>
                </a:solidFill>
                <a:latin typeface="Calibri"/>
              </a:defRPr>
            </a:pPr>
          </a:p>
        </c:txPr>
        <c:crossAx val="1582909328"/>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Balance Over Time — Minimum vs. Accelerated Payoff</a:t>
            </a:r>
          </a:p>
        </c:rich>
      </c:tx>
      <c:overlay val="0"/>
    </c:title>
    <c:plotArea>
      <c:layout/>
      <c:lineChart>
        <c:varyColors val="0"/>
        <c:axId val="185781919"/>
        <c:axId val="1660337111"/>
      </c:lineChart>
      <c:catAx>
        <c:axId val="18578191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 or Year</a:t>
                </a:r>
              </a:p>
            </c:rich>
          </c:tx>
          <c:overlay val="0"/>
        </c:title>
        <c:numFmt formatCode="General" sourceLinked="0"/>
        <c:majorTickMark val="none"/>
        <c:minorTickMark val="none"/>
        <c:spPr>
          <a:ln>
            <a:noFill/>
          </a:ln>
        </c:spPr>
        <c:txPr>
          <a:bodyPr/>
          <a:lstStyle/>
          <a:p>
            <a:pPr lvl="0">
              <a:defRPr b="1" i="0" sz="600">
                <a:solidFill>
                  <a:srgbClr val="000000"/>
                </a:solidFill>
                <a:latin typeface="Calibri"/>
              </a:defRPr>
            </a:pPr>
          </a:p>
        </c:txPr>
        <c:crossAx val="1660337111"/>
      </c:catAx>
      <c:valAx>
        <c:axId val="1660337111"/>
        <c:scaling>
          <c:orientation val="minMax"/>
        </c:scaling>
        <c:delete val="0"/>
        <c:axPos val="l"/>
        <c:tickLblPos val="nextTo"/>
        <c:spPr>
          <a:ln>
            <a:noFill/>
          </a:ln>
        </c:spPr>
        <c:crossAx val="185781919"/>
      </c:valAx>
    </c:plotArea>
    <c:legend>
      <c:legendPos val="b"/>
      <c:overlay val="0"/>
      <c:txPr>
        <a:bodyPr/>
        <a:lstStyle/>
        <a:p>
          <a:pPr lvl="0">
            <a:defRPr b="0" i="0">
              <a:solidFill>
                <a:srgbClr val="1A1A1A"/>
              </a:solidFill>
              <a:latin typeface="Calibri"/>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Surplus &amp; Net Worth Over Time</a:t>
            </a:r>
          </a:p>
        </c:rich>
      </c:tx>
      <c:overlay val="0"/>
    </c:title>
    <c:plotArea>
      <c:layout/>
      <c:lineChart>
        <c:varyColors val="0"/>
        <c:ser>
          <c:idx val="0"/>
          <c:order val="0"/>
          <c:tx>
            <c:v>Surplus</c:v>
          </c:tx>
          <c:spPr>
            <a:ln cmpd="sng">
              <a:solidFill>
                <a:srgbClr val="4F81BD"/>
              </a:solidFill>
            </a:ln>
          </c:spPr>
          <c:marker>
            <c:symbol val="none"/>
          </c:marker>
          <c:val>
            <c:numRef>
              <c:f>'Annual Review'!$E$5:$E$16</c:f>
              <c:numCache/>
            </c:numRef>
          </c:val>
          <c:smooth val="0"/>
        </c:ser>
        <c:axId val="305994480"/>
        <c:axId val="1420189295"/>
      </c:lineChart>
      <c:catAx>
        <c:axId val="3059944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i="0">
                <a:solidFill>
                  <a:srgbClr val="000000"/>
                </a:solidFill>
                <a:latin typeface="Calibri"/>
              </a:defRPr>
            </a:pPr>
          </a:p>
        </c:txPr>
        <c:crossAx val="1420189295"/>
      </c:catAx>
      <c:valAx>
        <c:axId val="142018929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0" sourceLinked="0"/>
        <c:majorTickMark val="none"/>
        <c:minorTickMark val="none"/>
        <c:tickLblPos val="nextTo"/>
        <c:spPr>
          <a:ln>
            <a:noFill/>
          </a:ln>
        </c:spPr>
        <c:txPr>
          <a:bodyPr/>
          <a:lstStyle/>
          <a:p>
            <a:pPr lvl="0">
              <a:defRPr b="0" i="0">
                <a:solidFill>
                  <a:srgbClr val="000000"/>
                </a:solidFill>
                <a:latin typeface="Calibri"/>
              </a:defRPr>
            </a:pPr>
          </a:p>
        </c:txPr>
        <c:crossAx val="305994480"/>
      </c:valAx>
    </c:plotArea>
    <c:legend>
      <c:legendPos val="b"/>
      <c:overlay val="0"/>
      <c:txPr>
        <a:bodyPr/>
        <a:lstStyle/>
        <a:p>
          <a:pPr lvl="0">
            <a:defRPr b="0" i="0">
              <a:solidFill>
                <a:srgbClr val="1A1A1A"/>
              </a:solidFill>
              <a:latin typeface="Calibri"/>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Projected Investment Growth vs. Goal</a:t>
            </a:r>
          </a:p>
        </c:rich>
      </c:tx>
      <c:overlay val="0"/>
    </c:title>
    <c:plotArea>
      <c:layout/>
      <c:lineChart>
        <c:ser>
          <c:idx val="0"/>
          <c:order val="0"/>
          <c:tx>
            <c:v>Contributions</c:v>
          </c:tx>
          <c:spPr>
            <a:ln cmpd="sng">
              <a:solidFill>
                <a:srgbClr val="4F81BD"/>
              </a:solidFill>
            </a:ln>
          </c:spPr>
          <c:marker>
            <c:symbol val="none"/>
          </c:marker>
          <c:val>
            <c:numRef>
              <c:f>'Annual Review'!$K$43:$K$83</c:f>
              <c:numCache/>
            </c:numRef>
          </c:val>
          <c:smooth val="0"/>
        </c:ser>
        <c:ser>
          <c:idx val="1"/>
          <c:order val="1"/>
          <c:tx>
            <c:v>Projected Balance</c:v>
          </c:tx>
          <c:spPr>
            <a:ln cmpd="sng">
              <a:solidFill>
                <a:srgbClr val="C0504D"/>
              </a:solidFill>
            </a:ln>
          </c:spPr>
          <c:marker>
            <c:symbol val="none"/>
          </c:marker>
          <c:val>
            <c:numRef>
              <c:f>'Annual Review'!$L$43:$L$83</c:f>
              <c:numCache/>
            </c:numRef>
          </c:val>
          <c:smooth val="0"/>
        </c:ser>
        <c:axId val="2038000526"/>
        <c:axId val="1355149718"/>
      </c:lineChart>
      <c:catAx>
        <c:axId val="20380005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a:t>
                </a:r>
              </a:p>
            </c:rich>
          </c:tx>
          <c:overlay val="0"/>
        </c:title>
        <c:numFmt formatCode="General" sourceLinked="0"/>
        <c:majorTickMark val="none"/>
        <c:minorTickMark val="none"/>
        <c:spPr>
          <a:ln>
            <a:noFill/>
          </a:ln>
        </c:spPr>
        <c:txPr>
          <a:bodyPr/>
          <a:lstStyle/>
          <a:p>
            <a:pPr lvl="0">
              <a:defRPr b="0" i="0">
                <a:solidFill>
                  <a:srgbClr val="000000"/>
                </a:solidFill>
                <a:latin typeface="Calibri"/>
              </a:defRPr>
            </a:pPr>
          </a:p>
        </c:txPr>
        <c:crossAx val="1355149718"/>
      </c:catAx>
      <c:valAx>
        <c:axId val="1355149718"/>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Portfolio Value</a:t>
                </a:r>
              </a:p>
            </c:rich>
          </c:tx>
          <c:overlay val="0"/>
        </c:title>
        <c:numFmt formatCode="$#,##0" sourceLinked="0"/>
        <c:majorTickMark val="none"/>
        <c:minorTickMark val="none"/>
        <c:tickLblPos val="nextTo"/>
        <c:spPr>
          <a:ln>
            <a:noFill/>
          </a:ln>
        </c:spPr>
        <c:txPr>
          <a:bodyPr/>
          <a:lstStyle/>
          <a:p>
            <a:pPr lvl="0">
              <a:defRPr b="0" i="0">
                <a:solidFill>
                  <a:srgbClr val="000000"/>
                </a:solidFill>
                <a:latin typeface="Calibri"/>
              </a:defRPr>
            </a:pPr>
          </a:p>
        </c:txPr>
        <c:crossAx val="2038000526"/>
      </c:valAx>
    </c:plotArea>
    <c:legend>
      <c:legendPos val="b"/>
      <c:overlay val="0"/>
      <c:txPr>
        <a:bodyPr/>
        <a:lstStyle/>
        <a:p>
          <a:pPr lvl="0">
            <a:defRPr b="0" i="0">
              <a:solidFill>
                <a:srgbClr val="1A1A1A"/>
              </a:solidFill>
              <a:latin typeface="Calibri"/>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33</xdr:row>
      <xdr:rowOff>0</xdr:rowOff>
    </xdr:from>
    <xdr:ext cx="4171950" cy="30099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0</xdr:colOff>
      <xdr:row>33</xdr:row>
      <xdr:rowOff>0</xdr:rowOff>
    </xdr:from>
    <xdr:ext cx="3943350" cy="3009900"/>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xdr:col>
      <xdr:colOff>0</xdr:colOff>
      <xdr:row>51</xdr:row>
      <xdr:rowOff>0</xdr:rowOff>
    </xdr:from>
    <xdr:ext cx="6848475" cy="3190875"/>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85725</xdr:colOff>
      <xdr:row>0</xdr:row>
      <xdr:rowOff>38100</xdr:rowOff>
    </xdr:from>
    <xdr:ext cx="6000750" cy="5991225"/>
    <xdr:graphicFrame>
      <xdr:nvGraphicFramePr>
        <xdr:cNvPr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134100" cy="3533775"/>
    <xdr:graphicFrame>
      <xdr:nvGraphicFramePr>
        <xdr:cNvPr id="5" name="Chart 5"/>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12</xdr:row>
      <xdr:rowOff>0</xdr:rowOff>
    </xdr:from>
    <xdr:ext cx="6410325" cy="5800725"/>
    <xdr:graphicFrame>
      <xdr:nvGraphicFramePr>
        <xdr:cNvPr id="6" name="Chart 6"/>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pageSetUpPr/>
  </sheetPr>
  <sheetViews>
    <sheetView showGridLines="0" workbookViewId="0"/>
  </sheetViews>
  <sheetFormatPr customHeight="1" defaultColWidth="14.43" defaultRowHeight="15.0"/>
  <cols>
    <col customWidth="1" min="1" max="1" width="3.0"/>
    <col customWidth="1" min="2" max="2" width="8.0"/>
    <col customWidth="1" min="3" max="3" width="113.71"/>
    <col customWidth="1" min="4" max="4" width="14.0"/>
    <col customWidth="1" min="5" max="5" width="38.0"/>
    <col customWidth="1" min="6" max="6" width="3.0"/>
  </cols>
  <sheetData>
    <row r="1" ht="15.0" customHeight="1">
      <c r="A1" s="1" t="s">
        <v>0</v>
      </c>
      <c r="B1" s="2" t="s">
        <v>1</v>
      </c>
      <c r="F1" s="1"/>
    </row>
    <row r="2" ht="15.0" customHeight="1">
      <c r="A2" s="1"/>
      <c r="F2" s="1"/>
    </row>
    <row r="3" ht="23.25" customHeight="1">
      <c r="A3" s="1"/>
      <c r="B3" s="4" t="s">
        <v>4</v>
      </c>
      <c r="F3" s="1"/>
    </row>
    <row r="4" ht="15.0" customHeight="1">
      <c r="A4" s="1"/>
      <c r="F4" s="1"/>
    </row>
    <row r="5" ht="15.0" customHeight="1">
      <c r="A5" s="1"/>
      <c r="B5" s="1"/>
      <c r="C5" s="1"/>
      <c r="D5" s="1"/>
      <c r="E5" s="1"/>
      <c r="F5" s="1"/>
    </row>
    <row r="6" ht="15.0" customHeight="1">
      <c r="A6" s="1"/>
      <c r="B6" s="5" t="s">
        <v>6</v>
      </c>
      <c r="F6" s="1"/>
    </row>
    <row r="7" ht="15.0" customHeight="1">
      <c r="A7" s="1"/>
      <c r="B7" s="7" t="s">
        <v>8</v>
      </c>
      <c r="C7" s="9" t="s">
        <v>10</v>
      </c>
      <c r="D7" s="7" t="s">
        <v>14</v>
      </c>
      <c r="E7" s="9" t="s">
        <v>16</v>
      </c>
      <c r="F7" s="1"/>
    </row>
    <row r="8" ht="30.0" customHeight="1">
      <c r="A8" s="1"/>
      <c r="B8" s="11">
        <v>1.0</v>
      </c>
      <c r="C8" s="12" t="s">
        <v>20</v>
      </c>
      <c r="D8" s="14"/>
      <c r="E8" s="15"/>
      <c r="F8" s="1"/>
    </row>
    <row r="9" ht="30.0" customHeight="1">
      <c r="A9" s="1"/>
      <c r="B9" s="11">
        <v>2.0</v>
      </c>
      <c r="C9" s="12" t="s">
        <v>24</v>
      </c>
      <c r="D9" s="14"/>
      <c r="E9" s="15"/>
      <c r="F9" s="1"/>
    </row>
    <row r="10" ht="27.75" customHeight="1">
      <c r="A10" s="1"/>
      <c r="B10" s="11">
        <v>3.0</v>
      </c>
      <c r="C10" s="12" t="s">
        <v>26</v>
      </c>
      <c r="D10" s="14"/>
      <c r="E10" s="15"/>
      <c r="F10" s="1"/>
    </row>
    <row r="11" ht="26.25" customHeight="1">
      <c r="A11" s="1"/>
      <c r="B11" s="11">
        <v>4.0</v>
      </c>
      <c r="C11" s="12" t="s">
        <v>27</v>
      </c>
      <c r="D11" s="14"/>
      <c r="E11" s="15"/>
      <c r="F11" s="1"/>
    </row>
    <row r="12" ht="27.75" customHeight="1">
      <c r="A12" s="1"/>
      <c r="B12" s="11">
        <v>5.0</v>
      </c>
      <c r="C12" s="12" t="s">
        <v>29</v>
      </c>
      <c r="D12" s="14"/>
      <c r="E12" s="15"/>
      <c r="F12" s="1"/>
    </row>
    <row r="13" ht="27.75" customHeight="1">
      <c r="A13" s="1"/>
      <c r="B13" s="11">
        <v>6.0</v>
      </c>
      <c r="C13" s="12" t="s">
        <v>30</v>
      </c>
      <c r="D13" s="14"/>
      <c r="E13" s="15"/>
      <c r="F13" s="1"/>
    </row>
    <row r="14" ht="15.75" customHeight="1">
      <c r="A14" s="1"/>
      <c r="B14" s="1"/>
      <c r="C14" s="19"/>
      <c r="D14" s="1"/>
      <c r="E14" s="1"/>
      <c r="F14" s="1"/>
    </row>
    <row r="15" ht="15.75" customHeight="1">
      <c r="A15" s="1"/>
      <c r="B15" s="5" t="s">
        <v>33</v>
      </c>
      <c r="F15" s="1"/>
    </row>
    <row r="16" ht="15.75" customHeight="1">
      <c r="A16" s="1"/>
      <c r="B16" s="14"/>
      <c r="C16" s="21" t="s">
        <v>34</v>
      </c>
      <c r="D16" s="22"/>
      <c r="E16" s="23"/>
      <c r="F16" s="1"/>
    </row>
    <row r="17" ht="15.75" customHeight="1">
      <c r="A17" s="1"/>
      <c r="B17" s="25"/>
      <c r="C17" s="21" t="s">
        <v>35</v>
      </c>
      <c r="D17" s="22"/>
      <c r="E17" s="23"/>
      <c r="F17" s="1"/>
    </row>
    <row r="18" ht="15.75" customHeight="1">
      <c r="A18" s="1"/>
      <c r="B18" s="27"/>
      <c r="C18" s="21" t="s">
        <v>36</v>
      </c>
      <c r="D18" s="22"/>
      <c r="E18" s="23"/>
      <c r="F18" s="1"/>
    </row>
    <row r="19" ht="15.75" customHeight="1">
      <c r="A19" s="1"/>
      <c r="B19" s="30"/>
      <c r="C19" s="21" t="s">
        <v>40</v>
      </c>
      <c r="D19" s="22"/>
      <c r="E19" s="23"/>
      <c r="F19" s="1"/>
    </row>
    <row r="20" ht="15.75" customHeight="1">
      <c r="A20" s="1"/>
      <c r="B20" s="31"/>
      <c r="C20" s="21" t="s">
        <v>41</v>
      </c>
      <c r="D20" s="22"/>
      <c r="E20" s="23"/>
      <c r="F20" s="1"/>
    </row>
    <row r="21" ht="15.75" customHeight="1">
      <c r="A21" s="1"/>
      <c r="B21" s="36"/>
      <c r="C21" s="21" t="s">
        <v>44</v>
      </c>
      <c r="D21" s="22"/>
      <c r="E21" s="23"/>
      <c r="F21" s="1"/>
    </row>
    <row r="22" ht="15.75" customHeight="1">
      <c r="A22" s="1"/>
      <c r="B22" s="37"/>
      <c r="C22" s="21" t="s">
        <v>45</v>
      </c>
      <c r="D22" s="22"/>
      <c r="E22" s="23"/>
      <c r="F22" s="1"/>
    </row>
    <row r="23" ht="15.75" customHeight="1">
      <c r="A23" s="1"/>
      <c r="B23" s="40" t="s">
        <v>46</v>
      </c>
      <c r="C23" s="21" t="s">
        <v>50</v>
      </c>
      <c r="D23" s="22"/>
      <c r="E23" s="23"/>
      <c r="F23" s="1"/>
    </row>
    <row r="24" ht="15.75" customHeight="1">
      <c r="A24" s="1"/>
      <c r="B24" s="41" t="s">
        <v>53</v>
      </c>
      <c r="C24" s="21" t="s">
        <v>54</v>
      </c>
      <c r="D24" s="22"/>
      <c r="E24" s="23"/>
      <c r="F24" s="1"/>
    </row>
    <row r="25" ht="15.75" customHeight="1">
      <c r="A25" s="1"/>
      <c r="B25" s="1"/>
      <c r="C25" s="1"/>
      <c r="D25" s="1"/>
      <c r="E25" s="1"/>
      <c r="F25" s="1"/>
    </row>
    <row r="26" ht="15.75" customHeight="1">
      <c r="A26" s="1"/>
      <c r="B26" s="5" t="s">
        <v>55</v>
      </c>
      <c r="F26" s="1"/>
    </row>
    <row r="27" ht="45.0" customHeight="1">
      <c r="A27" s="1"/>
      <c r="B27" s="43" t="s">
        <v>56</v>
      </c>
      <c r="C27" s="44"/>
      <c r="D27" s="44"/>
      <c r="E27" s="45"/>
      <c r="F27" s="1"/>
    </row>
    <row r="28" ht="15.75" customHeight="1">
      <c r="A28" s="1"/>
      <c r="B28" s="47"/>
      <c r="C28" s="48"/>
      <c r="D28" s="48"/>
      <c r="E28" s="49"/>
      <c r="F28" s="1"/>
    </row>
    <row r="29" ht="15.75" customHeight="1">
      <c r="A29" s="1"/>
      <c r="B29" s="50"/>
      <c r="C29" s="50"/>
      <c r="D29" s="50"/>
      <c r="E29" s="50"/>
      <c r="F29" s="1"/>
    </row>
    <row r="30" ht="15.75" customHeight="1">
      <c r="A30" s="1"/>
      <c r="B30" s="5" t="s">
        <v>62</v>
      </c>
      <c r="F30" s="1"/>
    </row>
    <row r="31" ht="23.25" customHeight="1">
      <c r="A31" s="1"/>
      <c r="B31" s="53" t="s">
        <v>63</v>
      </c>
      <c r="C31" s="54"/>
      <c r="D31" s="54"/>
      <c r="E31" s="55"/>
      <c r="F31" s="1"/>
    </row>
    <row r="32" ht="30.0" customHeight="1">
      <c r="A32" s="1"/>
      <c r="B32" s="53" t="s">
        <v>68</v>
      </c>
      <c r="C32" s="54"/>
      <c r="D32" s="54"/>
      <c r="E32" s="55"/>
      <c r="F32" s="1"/>
    </row>
    <row r="33" ht="29.25" customHeight="1">
      <c r="A33" s="1"/>
      <c r="B33" s="57" t="s">
        <v>69</v>
      </c>
      <c r="C33" s="44"/>
      <c r="D33" s="44"/>
      <c r="E33" s="45"/>
      <c r="F33" s="1"/>
    </row>
    <row r="34" ht="27.0" customHeight="1">
      <c r="A34" s="1"/>
      <c r="B34" s="58" t="s">
        <v>71</v>
      </c>
      <c r="C34" s="59"/>
      <c r="D34" s="59"/>
      <c r="E34" s="62"/>
      <c r="F34" s="1"/>
    </row>
    <row r="35" ht="30.0" customHeight="1">
      <c r="A35" s="1"/>
      <c r="B35" s="53" t="s">
        <v>73</v>
      </c>
      <c r="C35" s="54"/>
      <c r="D35" s="54"/>
      <c r="E35" s="55"/>
      <c r="F35" s="1"/>
    </row>
    <row r="36" ht="15.75" customHeight="1">
      <c r="A36" s="1"/>
      <c r="B36" s="63"/>
      <c r="F36" s="1"/>
    </row>
    <row r="37" ht="15.75" customHeight="1">
      <c r="A37" s="1"/>
      <c r="B37" s="64" t="s">
        <v>76</v>
      </c>
      <c r="F37" s="1"/>
    </row>
    <row r="38" ht="15.75" customHeight="1">
      <c r="A38" s="1"/>
      <c r="B38" s="64"/>
      <c r="F38" s="1"/>
    </row>
    <row r="39" ht="15.75" customHeight="1">
      <c r="A39" s="1"/>
      <c r="B39" s="1"/>
      <c r="C39" s="1"/>
      <c r="D39" s="1"/>
      <c r="E39" s="1"/>
      <c r="F39" s="1"/>
    </row>
    <row r="40" ht="15.75" customHeight="1">
      <c r="A40" s="1"/>
      <c r="B40" s="1"/>
      <c r="C40" s="1"/>
      <c r="D40" s="1"/>
      <c r="E40" s="1"/>
      <c r="F40" s="1"/>
    </row>
    <row r="41" ht="15.75" customHeight="1">
      <c r="A41" s="1"/>
      <c r="B41" s="1"/>
      <c r="C41" s="1"/>
      <c r="D41" s="1"/>
      <c r="E41" s="1"/>
      <c r="F41" s="1"/>
    </row>
    <row r="42" ht="15.75" customHeight="1">
      <c r="A42" s="1"/>
      <c r="B42" s="1"/>
      <c r="C42" s="1"/>
      <c r="D42" s="1"/>
      <c r="E42" s="1"/>
      <c r="F42" s="1"/>
    </row>
    <row r="43" ht="15.75" customHeight="1">
      <c r="A43" s="1"/>
      <c r="B43" s="1"/>
      <c r="C43" s="1"/>
      <c r="D43" s="1"/>
      <c r="E43" s="1"/>
      <c r="F43" s="1"/>
    </row>
    <row r="44" ht="15.75" customHeight="1">
      <c r="A44" s="1"/>
      <c r="B44" s="1"/>
      <c r="C44" s="1"/>
      <c r="D44" s="1"/>
      <c r="E44" s="1"/>
      <c r="F44" s="1"/>
    </row>
    <row r="45" ht="15.75" customHeight="1">
      <c r="A45" s="1"/>
      <c r="B45" s="1"/>
      <c r="C45" s="1"/>
      <c r="D45" s="1"/>
      <c r="E45" s="1"/>
      <c r="F45" s="1"/>
    </row>
    <row r="46" ht="15.75" customHeight="1">
      <c r="A46" s="1"/>
      <c r="B46" s="1"/>
      <c r="C46" s="1"/>
      <c r="D46" s="1"/>
      <c r="E46" s="1"/>
      <c r="F46" s="1"/>
    </row>
    <row r="47" ht="15.75" customHeight="1">
      <c r="A47" s="1"/>
      <c r="B47" s="1"/>
      <c r="C47" s="1"/>
      <c r="D47" s="1"/>
      <c r="E47" s="1"/>
      <c r="F47" s="1"/>
    </row>
    <row r="48" ht="15.75" customHeight="1">
      <c r="A48" s="1"/>
      <c r="B48" s="1"/>
      <c r="C48" s="1"/>
      <c r="D48" s="1"/>
      <c r="E48" s="1"/>
      <c r="F48" s="1"/>
    </row>
    <row r="49" ht="15.75" customHeight="1">
      <c r="A49" s="1"/>
      <c r="B49" s="1"/>
      <c r="C49" s="1"/>
      <c r="D49" s="1"/>
      <c r="E49" s="1"/>
      <c r="F49" s="1"/>
    </row>
    <row r="50" ht="15.75" customHeight="1">
      <c r="A50" s="1"/>
      <c r="B50" s="1"/>
      <c r="C50" s="1"/>
      <c r="D50" s="1"/>
      <c r="E50" s="1"/>
      <c r="F50" s="1"/>
    </row>
    <row r="51" ht="15.75" customHeight="1">
      <c r="A51" s="1"/>
      <c r="B51" s="1"/>
      <c r="C51" s="1"/>
      <c r="D51" s="1"/>
      <c r="E51" s="1"/>
      <c r="F51" s="1"/>
    </row>
    <row r="52" ht="15.75" customHeight="1">
      <c r="A52" s="1"/>
      <c r="B52" s="1"/>
      <c r="C52" s="1"/>
      <c r="D52" s="1"/>
      <c r="E52" s="1"/>
      <c r="F52" s="1"/>
    </row>
    <row r="53" ht="15.75" customHeight="1">
      <c r="A53" s="1"/>
      <c r="B53" s="1"/>
      <c r="C53" s="1"/>
      <c r="D53" s="1"/>
      <c r="E53" s="1"/>
      <c r="F53" s="1"/>
    </row>
    <row r="54" ht="15.75" customHeight="1">
      <c r="A54" s="1"/>
      <c r="B54" s="1"/>
      <c r="C54" s="1"/>
      <c r="D54" s="1"/>
      <c r="E54" s="1"/>
      <c r="F54" s="1"/>
    </row>
    <row r="55" ht="15.75" customHeight="1">
      <c r="A55" s="1"/>
      <c r="B55" s="1"/>
      <c r="C55" s="1"/>
      <c r="D55" s="1"/>
      <c r="E55" s="1"/>
      <c r="F55" s="1"/>
    </row>
    <row r="56" ht="15.75" customHeight="1">
      <c r="A56" s="1"/>
      <c r="B56" s="1"/>
      <c r="C56" s="1"/>
      <c r="D56" s="1"/>
      <c r="E56" s="1"/>
      <c r="F56" s="1"/>
    </row>
    <row r="57" ht="15.75" customHeight="1">
      <c r="A57" s="1"/>
      <c r="B57" s="1"/>
      <c r="C57" s="1"/>
      <c r="D57" s="1"/>
      <c r="E57" s="1"/>
      <c r="F57" s="1"/>
    </row>
    <row r="58" ht="15.75" customHeight="1">
      <c r="A58" s="1"/>
      <c r="B58" s="1"/>
      <c r="C58" s="1"/>
      <c r="D58" s="1"/>
      <c r="E58" s="1"/>
      <c r="F58" s="1"/>
    </row>
    <row r="59" ht="15.75" customHeight="1">
      <c r="A59" s="1"/>
      <c r="B59" s="1"/>
      <c r="C59" s="1"/>
      <c r="D59" s="1"/>
      <c r="E59" s="1"/>
      <c r="F59" s="1"/>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c r="A65" s="1"/>
      <c r="B65" s="1"/>
      <c r="C65" s="1"/>
      <c r="D65" s="1"/>
      <c r="E65" s="1"/>
      <c r="F65" s="1"/>
    </row>
    <row r="66" ht="15.75" customHeight="1">
      <c r="A66" s="1"/>
      <c r="B66" s="1"/>
      <c r="C66" s="1"/>
      <c r="D66" s="1"/>
      <c r="E66" s="1"/>
      <c r="F66" s="1"/>
    </row>
    <row r="67" ht="15.75" customHeight="1">
      <c r="A67" s="1"/>
      <c r="B67" s="1"/>
      <c r="C67" s="1"/>
      <c r="D67" s="1"/>
      <c r="E67" s="1"/>
      <c r="F67" s="1"/>
    </row>
    <row r="68" ht="15.75" customHeight="1">
      <c r="A68" s="1"/>
      <c r="B68" s="1"/>
      <c r="C68" s="1"/>
      <c r="D68" s="1"/>
      <c r="E68" s="1"/>
      <c r="F68" s="1"/>
    </row>
    <row r="69" ht="15.75" customHeight="1">
      <c r="A69" s="1"/>
      <c r="B69" s="1"/>
      <c r="C69" s="1"/>
      <c r="D69" s="1"/>
      <c r="E69" s="1"/>
      <c r="F69" s="1"/>
    </row>
    <row r="70" ht="15.75" customHeight="1">
      <c r="A70" s="1"/>
      <c r="B70" s="1"/>
      <c r="C70" s="1"/>
      <c r="D70" s="1"/>
      <c r="E70" s="1"/>
      <c r="F70" s="1"/>
    </row>
    <row r="71" ht="15.75" customHeight="1">
      <c r="A71" s="1"/>
      <c r="B71" s="1"/>
      <c r="C71" s="1"/>
      <c r="D71" s="1"/>
      <c r="E71" s="1"/>
      <c r="F71" s="1"/>
    </row>
    <row r="72" ht="15.75" customHeight="1">
      <c r="A72" s="1"/>
      <c r="B72" s="1"/>
      <c r="C72" s="1"/>
      <c r="D72" s="1"/>
      <c r="E72" s="1"/>
      <c r="F72" s="1"/>
    </row>
    <row r="73" ht="15.75" customHeight="1">
      <c r="A73" s="1"/>
      <c r="B73" s="1"/>
      <c r="C73" s="1"/>
      <c r="D73" s="1"/>
      <c r="E73" s="1"/>
      <c r="F73" s="1"/>
    </row>
    <row r="74" ht="15.75" customHeight="1">
      <c r="A74" s="1"/>
      <c r="B74" s="1"/>
      <c r="C74" s="1"/>
      <c r="D74" s="1"/>
      <c r="E74" s="1"/>
      <c r="F74" s="1"/>
    </row>
    <row r="75" ht="15.75" customHeight="1">
      <c r="A75" s="1"/>
      <c r="B75" s="1"/>
      <c r="C75" s="1"/>
      <c r="D75" s="1"/>
      <c r="E75" s="1"/>
      <c r="F75" s="1"/>
    </row>
    <row r="76" ht="15.75" customHeight="1">
      <c r="A76" s="1"/>
      <c r="B76" s="1"/>
      <c r="C76" s="1"/>
      <c r="D76" s="1"/>
      <c r="E76" s="1"/>
      <c r="F76" s="1"/>
    </row>
    <row r="77" ht="15.75" customHeight="1">
      <c r="A77" s="1"/>
      <c r="B77" s="1"/>
      <c r="C77" s="1"/>
      <c r="D77" s="1"/>
      <c r="E77" s="1"/>
      <c r="F77" s="1"/>
    </row>
    <row r="78" ht="15.75" customHeight="1">
      <c r="A78" s="1"/>
      <c r="B78" s="1"/>
      <c r="C78" s="1"/>
      <c r="D78" s="1"/>
      <c r="E78" s="1"/>
      <c r="F78" s="1"/>
    </row>
    <row r="79" ht="15.75" customHeight="1">
      <c r="A79" s="1"/>
      <c r="B79" s="1"/>
      <c r="C79" s="1"/>
      <c r="D79" s="1"/>
      <c r="E79" s="1"/>
      <c r="F79" s="1"/>
    </row>
    <row r="80" ht="15.75" customHeight="1">
      <c r="A80" s="1"/>
      <c r="B80" s="1"/>
      <c r="C80" s="1"/>
      <c r="D80" s="1"/>
      <c r="E80" s="1"/>
      <c r="F80" s="1"/>
    </row>
    <row r="81" ht="15.75" customHeight="1">
      <c r="A81" s="1"/>
      <c r="B81" s="1"/>
      <c r="C81" s="1"/>
      <c r="D81" s="1"/>
      <c r="E81" s="1"/>
      <c r="F81" s="1"/>
    </row>
    <row r="82" ht="15.75" customHeight="1">
      <c r="A82" s="1"/>
      <c r="B82" s="1"/>
      <c r="C82" s="1"/>
      <c r="D82" s="1"/>
      <c r="E82" s="1"/>
      <c r="F82" s="1"/>
    </row>
    <row r="83" ht="15.75" customHeight="1">
      <c r="A83" s="1"/>
      <c r="B83" s="1"/>
      <c r="C83" s="1"/>
      <c r="D83" s="1"/>
      <c r="E83" s="1"/>
      <c r="F83" s="1"/>
    </row>
    <row r="84" ht="15.75" customHeight="1">
      <c r="A84" s="1"/>
      <c r="B84" s="1"/>
      <c r="C84" s="1"/>
      <c r="D84" s="1"/>
      <c r="E84" s="1"/>
      <c r="F84" s="1"/>
    </row>
    <row r="85" ht="15.75" customHeight="1">
      <c r="A85" s="1"/>
      <c r="B85" s="1"/>
      <c r="C85" s="1"/>
      <c r="D85" s="1"/>
      <c r="E85" s="1"/>
      <c r="F85" s="1"/>
    </row>
    <row r="86" ht="15.75" customHeight="1">
      <c r="A86" s="1"/>
      <c r="B86" s="1"/>
      <c r="C86" s="1"/>
      <c r="D86" s="1"/>
      <c r="E86" s="1"/>
      <c r="F86" s="1"/>
    </row>
    <row r="87" ht="15.75" customHeight="1">
      <c r="A87" s="1"/>
      <c r="B87" s="1"/>
      <c r="C87" s="1"/>
      <c r="D87" s="1"/>
      <c r="E87" s="1"/>
      <c r="F87" s="1"/>
    </row>
    <row r="88" ht="15.75" customHeight="1">
      <c r="A88" s="1"/>
      <c r="B88" s="1"/>
      <c r="C88" s="1"/>
      <c r="D88" s="1"/>
      <c r="E88" s="1"/>
      <c r="F88" s="1"/>
    </row>
    <row r="89" ht="15.75" customHeight="1">
      <c r="A89" s="1"/>
      <c r="B89" s="1"/>
      <c r="C89" s="1"/>
      <c r="D89" s="1"/>
      <c r="E89" s="1"/>
      <c r="F89" s="1"/>
    </row>
    <row r="90" ht="15.75" customHeight="1">
      <c r="A90" s="1"/>
      <c r="B90" s="1"/>
      <c r="C90" s="1"/>
      <c r="D90" s="1"/>
      <c r="E90" s="1"/>
      <c r="F90" s="1"/>
    </row>
    <row r="91" ht="15.75" customHeight="1">
      <c r="A91" s="1"/>
      <c r="B91" s="1"/>
      <c r="C91" s="1"/>
      <c r="D91" s="1"/>
      <c r="E91" s="1"/>
      <c r="F91" s="1"/>
    </row>
    <row r="92" ht="15.75" customHeight="1">
      <c r="A92" s="1"/>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4">
    <mergeCell ref="B1:E2"/>
    <mergeCell ref="B3:E4"/>
    <mergeCell ref="B6:E6"/>
    <mergeCell ref="B15:E15"/>
    <mergeCell ref="C16:E16"/>
    <mergeCell ref="C17:E17"/>
    <mergeCell ref="C18:E18"/>
    <mergeCell ref="C19:E19"/>
    <mergeCell ref="C20:E20"/>
    <mergeCell ref="C21:E21"/>
    <mergeCell ref="C22:E22"/>
    <mergeCell ref="C23:E23"/>
    <mergeCell ref="C24:E24"/>
    <mergeCell ref="B26:E26"/>
    <mergeCell ref="B37:E37"/>
    <mergeCell ref="B38:E38"/>
    <mergeCell ref="B27:E28"/>
    <mergeCell ref="B30:E30"/>
    <mergeCell ref="B31:E31"/>
    <mergeCell ref="B32:E32"/>
    <mergeCell ref="B33:E33"/>
    <mergeCell ref="B34:E34"/>
    <mergeCell ref="B36:E36"/>
    <mergeCell ref="B35:E35"/>
  </mergeCells>
  <conditionalFormatting sqref="C8:C13">
    <cfRule type="expression" dxfId="0" priority="1">
      <formula>$D8="Y"</formula>
    </cfRule>
  </conditionalFormatting>
  <dataValidations>
    <dataValidation type="list" allowBlank="1" sqref="D8:D13">
      <formula1>"Y,N"</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pageSetUpPr/>
  </sheetPr>
  <sheetViews>
    <sheetView showGridLines="0" workbookViewId="0"/>
  </sheetViews>
  <sheetFormatPr customHeight="1" defaultColWidth="14.43" defaultRowHeight="15.0"/>
  <cols>
    <col customWidth="1" min="1" max="1" width="3.0"/>
    <col customWidth="1" min="2" max="2" width="31.29"/>
    <col customWidth="1" min="3" max="3" width="14.0"/>
    <col customWidth="1" min="4" max="4" width="3.0"/>
    <col customWidth="1" min="5" max="5" width="27.57"/>
    <col customWidth="1" min="6" max="6" width="16.43"/>
    <col customWidth="1" min="7" max="7" width="3.0"/>
    <col customWidth="1" min="8" max="8" width="25.71"/>
    <col customWidth="1" min="9" max="9" width="16.71"/>
    <col customWidth="1" min="10" max="10" width="8.71"/>
    <col customWidth="1" hidden="1" min="11" max="12" width="13.0"/>
    <col customWidth="1" min="13" max="13" width="36.29"/>
    <col customWidth="1" min="14" max="14" width="24.71"/>
  </cols>
  <sheetData>
    <row r="1" ht="19.5" customHeight="1">
      <c r="A1" s="1"/>
      <c r="B1" s="3" t="s">
        <v>2</v>
      </c>
      <c r="J1" s="1"/>
      <c r="K1" s="1"/>
      <c r="L1" s="1"/>
      <c r="M1" s="3" t="s">
        <v>5</v>
      </c>
      <c r="O1" s="1"/>
      <c r="P1" s="1"/>
    </row>
    <row r="2" ht="25.5" customHeight="1">
      <c r="A2" s="1"/>
      <c r="B2" s="6" t="s">
        <v>7</v>
      </c>
      <c r="J2" s="1"/>
      <c r="K2" s="1"/>
      <c r="L2" s="1"/>
      <c r="M2" s="1"/>
      <c r="N2" s="1"/>
      <c r="O2" s="1"/>
      <c r="P2" s="1"/>
    </row>
    <row r="3" ht="15.0" customHeight="1">
      <c r="A3" s="1"/>
      <c r="B3" s="1"/>
      <c r="C3" s="1"/>
      <c r="D3" s="1"/>
      <c r="E3" s="1"/>
      <c r="F3" s="1"/>
      <c r="G3" s="1"/>
      <c r="H3" s="1"/>
      <c r="I3" s="1"/>
      <c r="J3" s="1"/>
      <c r="K3" s="1"/>
      <c r="L3" s="1"/>
      <c r="M3" s="5" t="s">
        <v>18</v>
      </c>
      <c r="O3" s="1"/>
      <c r="P3" s="1"/>
    </row>
    <row r="4" ht="15.0" customHeight="1">
      <c r="A4" s="1"/>
      <c r="B4" s="5" t="s">
        <v>19</v>
      </c>
      <c r="D4" s="1"/>
      <c r="E4" s="5" t="s">
        <v>21</v>
      </c>
      <c r="G4" s="1"/>
      <c r="H4" s="5" t="s">
        <v>22</v>
      </c>
      <c r="J4" s="1"/>
      <c r="K4" s="1"/>
      <c r="L4" s="1"/>
      <c r="M4" s="13" t="s">
        <v>23</v>
      </c>
      <c r="N4" s="24">
        <f>ROUND(IFERROR(MAX(0,MIN('Budget Input'!$I$9/'Budget Input'!$I$5/0.2*100,100)),0),0)</f>
        <v>100</v>
      </c>
      <c r="O4" s="1"/>
      <c r="P4" s="1"/>
    </row>
    <row r="5" ht="15.0" customHeight="1">
      <c r="A5" s="1"/>
      <c r="B5" s="13" t="s">
        <v>32</v>
      </c>
      <c r="C5" s="28">
        <f>'Budget Input'!I5</f>
        <v>7000</v>
      </c>
      <c r="D5" s="1"/>
      <c r="E5" s="13" t="s">
        <v>38</v>
      </c>
      <c r="F5" s="33">
        <f>'Debt Payoff'!M4</f>
        <v>18000</v>
      </c>
      <c r="G5" s="1"/>
      <c r="H5" s="35" t="s">
        <v>42</v>
      </c>
      <c r="I5" s="39">
        <f>'Net Worth'!C11</f>
        <v>137000</v>
      </c>
      <c r="J5" s="1"/>
      <c r="K5" s="1"/>
      <c r="L5" s="1"/>
      <c r="M5" s="13" t="s">
        <v>48</v>
      </c>
      <c r="N5" s="24">
        <f>ROUND(IF('Budget Input'!$I$5=0,IF('Debt Payoff'!$M$7&gt;0,0,100),MAX(0,MIN(100-('Debt Payoff'!$M$7/'Budget Input'!$I$5)/0.36*100,100))),0)</f>
        <v>86</v>
      </c>
      <c r="O5" s="1"/>
      <c r="P5" s="1"/>
    </row>
    <row r="6" ht="15.0" customHeight="1">
      <c r="A6" s="1"/>
      <c r="B6" s="13" t="s">
        <v>43</v>
      </c>
      <c r="C6" s="52">
        <f>'Budget Input'!I6</f>
        <v>3250</v>
      </c>
      <c r="D6" s="1"/>
      <c r="E6" s="13" t="s">
        <v>67</v>
      </c>
      <c r="F6" s="33">
        <f>'Debt Payoff'!M7</f>
        <v>350</v>
      </c>
      <c r="G6" s="1"/>
      <c r="H6" s="56" t="s">
        <v>70</v>
      </c>
      <c r="I6" s="60">
        <f>'Net Worth'!C19</f>
        <v>18000</v>
      </c>
      <c r="J6" s="1"/>
      <c r="K6" s="1"/>
      <c r="L6" s="1"/>
      <c r="M6" s="13" t="s">
        <v>72</v>
      </c>
      <c r="N6" s="24">
        <f>ROUND(IFERROR(MAX(0,MIN('Emergency Fund'!$C$11/6*100,100)),0),0)</f>
        <v>48</v>
      </c>
      <c r="O6" s="1"/>
      <c r="P6" s="1"/>
    </row>
    <row r="7" ht="15.0" customHeight="1">
      <c r="A7" s="1"/>
      <c r="B7" s="13" t="s">
        <v>58</v>
      </c>
      <c r="C7" s="67">
        <f>'Budget Input'!I8</f>
        <v>1700</v>
      </c>
      <c r="D7" s="1"/>
      <c r="E7" s="1"/>
      <c r="F7" s="1"/>
      <c r="G7" s="1"/>
      <c r="H7" s="56" t="s">
        <v>80</v>
      </c>
      <c r="I7" s="69">
        <f>'Emergency Fund'!C6</f>
        <v>10000</v>
      </c>
      <c r="J7" s="1"/>
      <c r="K7" s="1"/>
      <c r="L7" s="1"/>
      <c r="M7" s="13" t="s">
        <v>82</v>
      </c>
      <c r="N7" s="24">
        <f>ROUND(IF('Budget Input'!$I$5=0,IF('Budget Input'!$I$6&gt;0,0,100),MAX(0,MIN(100-('Budget Input'!$I$6/'Budget Input'!$I$5-0.5)*200,100))),0)</f>
        <v>100</v>
      </c>
      <c r="O7" s="1"/>
      <c r="P7" s="1"/>
    </row>
    <row r="8" ht="15.0" customHeight="1">
      <c r="A8" s="1"/>
      <c r="B8" s="13" t="s">
        <v>66</v>
      </c>
      <c r="C8" s="78">
        <f>'Budget Input'!I10</f>
        <v>20.33333333</v>
      </c>
      <c r="D8" s="1"/>
      <c r="E8" s="1"/>
      <c r="F8" s="1"/>
      <c r="G8" s="1"/>
      <c r="H8" s="79"/>
      <c r="I8" s="80"/>
      <c r="J8" s="1"/>
      <c r="K8" s="1"/>
      <c r="L8" s="1"/>
      <c r="M8" s="1"/>
      <c r="N8" s="1"/>
      <c r="O8" s="1"/>
      <c r="P8" s="1"/>
    </row>
    <row r="9" ht="15.0" customHeight="1">
      <c r="A9" s="1"/>
      <c r="B9" s="1"/>
      <c r="C9" s="1"/>
      <c r="D9" s="1"/>
      <c r="E9" s="1"/>
      <c r="F9" s="1"/>
      <c r="G9" s="1"/>
      <c r="H9" s="1"/>
      <c r="I9" s="1"/>
      <c r="J9" s="1"/>
      <c r="K9" s="1"/>
      <c r="L9" s="1"/>
      <c r="M9" s="5" t="s">
        <v>88</v>
      </c>
      <c r="O9" s="1"/>
      <c r="P9" s="1"/>
    </row>
    <row r="10" ht="21.0" customHeight="1">
      <c r="A10" s="1"/>
      <c r="B10" s="5" t="s">
        <v>89</v>
      </c>
      <c r="J10" s="1"/>
      <c r="K10" s="1"/>
      <c r="L10" s="1"/>
      <c r="M10" s="81" t="s">
        <v>90</v>
      </c>
      <c r="N10" s="83">
        <f>ROUND(AVERAGE(N4:N7),0)</f>
        <v>84</v>
      </c>
      <c r="O10" s="1"/>
      <c r="P10" s="1"/>
    </row>
    <row r="11" ht="19.5" customHeight="1">
      <c r="A11" s="1"/>
      <c r="B11" s="84" t="s">
        <v>22</v>
      </c>
      <c r="C11" s="85"/>
      <c r="D11" s="1"/>
      <c r="E11" s="84" t="s">
        <v>91</v>
      </c>
      <c r="F11" s="85"/>
      <c r="G11" s="1"/>
      <c r="H11" s="84" t="s">
        <v>92</v>
      </c>
      <c r="I11" s="85"/>
      <c r="J11" s="1"/>
      <c r="K11" s="86" t="s">
        <v>93</v>
      </c>
      <c r="L11" s="1"/>
      <c r="M11" s="87" t="s">
        <v>94</v>
      </c>
      <c r="N11" s="88" t="str">
        <f>IF(N10&gt;=90,"A",IF(N10&gt;=80,"B",IF(N10&gt;=70,"C",IF(N10&gt;=60,"D","F"))))</f>
        <v>B</v>
      </c>
      <c r="O11" s="1"/>
      <c r="P11" s="1"/>
    </row>
    <row r="12" ht="33.75" customHeight="1">
      <c r="A12" s="1"/>
      <c r="B12" s="89">
        <f>'Net Worth'!C22</f>
        <v>119000</v>
      </c>
      <c r="C12" s="85"/>
      <c r="D12" s="1"/>
      <c r="E12" s="89">
        <f>'Budget Input'!I11</f>
        <v>79.66666667</v>
      </c>
      <c r="F12" s="85"/>
      <c r="G12" s="1"/>
      <c r="H12" s="90">
        <f>N10</f>
        <v>84</v>
      </c>
      <c r="I12" s="85"/>
      <c r="J12" s="1"/>
      <c r="K12" s="91"/>
      <c r="L12" s="1"/>
      <c r="M12" s="93" t="s">
        <v>98</v>
      </c>
      <c r="N12" s="97" t="str">
        <f>IF(N10&gt;=90,"Excellent — your finances are in great shape. Keep it up.",IF(N10&gt;=80,"Strong financial health with a few areas to refine.",IF(N10&gt;=70,"You're on the right track — focus on your lowest sub-score to climb higher.",IF(N10&gt;=60,"A few structural issues are holding your finances back — prioritize the lowest sub-score.","Your finances need attention. Start with the lowest sub-score and build from there."))))</f>
        <v>Strong financial health with a few areas to refine.</v>
      </c>
      <c r="O12" s="1"/>
      <c r="P12" s="1"/>
    </row>
    <row r="13" ht="19.5" customHeight="1">
      <c r="A13" s="1"/>
      <c r="B13" s="100" t="str">
        <f>IF(B12&gt;=0,"Positive","Negative")</f>
        <v>Positive</v>
      </c>
      <c r="C13" s="85"/>
      <c r="D13" s="1"/>
      <c r="E13" s="100" t="str">
        <f>IF(E12&gt;=0,"Surplus","Deficit")</f>
        <v>Surplus</v>
      </c>
      <c r="F13" s="85"/>
      <c r="G13" s="1"/>
      <c r="H13" s="100" t="str">
        <f>IF(H12&gt;=80,"Strong",IF(H12&gt;=70,"Fair",IF(H12&gt;=60,"Getting there","Needs work")))</f>
        <v>Strong</v>
      </c>
      <c r="I13" s="85"/>
      <c r="J13" s="1"/>
      <c r="K13" s="13" t="s">
        <v>111</v>
      </c>
      <c r="L13" s="101">
        <f>'Budget Input'!I6</f>
        <v>3250</v>
      </c>
      <c r="M13" s="102"/>
      <c r="N13" s="102"/>
      <c r="O13" s="1"/>
      <c r="P13" s="1"/>
    </row>
    <row r="14" ht="19.5" customHeight="1">
      <c r="A14" s="1"/>
      <c r="B14" s="84" t="s">
        <v>112</v>
      </c>
      <c r="C14" s="85"/>
      <c r="D14" s="1"/>
      <c r="E14" s="84" t="s">
        <v>114</v>
      </c>
      <c r="F14" s="85"/>
      <c r="G14" s="1"/>
      <c r="H14" s="84" t="s">
        <v>115</v>
      </c>
      <c r="I14" s="85"/>
      <c r="J14" s="1"/>
      <c r="K14" s="13" t="s">
        <v>117</v>
      </c>
      <c r="L14" s="101">
        <f>'Debt Payoff'!M7</f>
        <v>350</v>
      </c>
      <c r="M14" s="105"/>
      <c r="N14" s="105"/>
      <c r="O14" s="1"/>
      <c r="P14" s="1"/>
    </row>
    <row r="15" ht="33.75" customHeight="1">
      <c r="A15" s="1"/>
      <c r="B15" s="106">
        <f>IFERROR(F6/C5,0)</f>
        <v>0.05</v>
      </c>
      <c r="C15" s="85"/>
      <c r="D15" s="1"/>
      <c r="E15" s="106">
        <f>IFERROR('Budget Input'!I9/'Budget Input'!I5,0)</f>
        <v>0.2285714286</v>
      </c>
      <c r="F15" s="85"/>
      <c r="G15" s="1"/>
      <c r="H15" s="111">
        <f>'Emergency Fund'!C11</f>
        <v>2.857142857</v>
      </c>
      <c r="I15" s="85"/>
      <c r="J15" s="1"/>
      <c r="K15" s="13" t="s">
        <v>122</v>
      </c>
      <c r="L15" s="101">
        <f>'Budget Input'!I9</f>
        <v>1600</v>
      </c>
      <c r="M15" s="79"/>
      <c r="N15" s="6"/>
      <c r="O15" s="1"/>
      <c r="P15" s="1"/>
    </row>
    <row r="16" ht="19.5" customHeight="1">
      <c r="A16" s="1"/>
      <c r="B16" s="100" t="str">
        <f>IF(B15&lt;=0.36,"On target","Above target")</f>
        <v>On target</v>
      </c>
      <c r="C16" s="85"/>
      <c r="D16" s="1"/>
      <c r="E16" s="100" t="str">
        <f>IF(E15&gt;=0.2,"On target","Below target")</f>
        <v>On target</v>
      </c>
      <c r="F16" s="85"/>
      <c r="G16" s="1"/>
      <c r="H16" s="100" t="str">
        <f>IF(H15&gt;=6,"Fully funded","Building")</f>
        <v>Building</v>
      </c>
      <c r="I16" s="85"/>
      <c r="J16" s="1"/>
      <c r="K16" s="13" t="s">
        <v>132</v>
      </c>
      <c r="L16" s="116">
        <f>'Budget Input'!I11</f>
        <v>79.66666667</v>
      </c>
      <c r="M16" s="1"/>
      <c r="N16" s="1"/>
      <c r="O16" s="1"/>
      <c r="P16" s="1"/>
    </row>
    <row r="17" ht="3.0" customHeight="1">
      <c r="A17" s="1"/>
      <c r="B17" s="1"/>
      <c r="C17" s="1"/>
      <c r="D17" s="1"/>
      <c r="E17" s="1"/>
      <c r="F17" s="1"/>
      <c r="G17" s="1"/>
      <c r="H17" s="1"/>
      <c r="I17" s="1"/>
      <c r="J17" s="1"/>
      <c r="K17" s="1"/>
      <c r="L17" s="1"/>
      <c r="M17" s="1"/>
      <c r="N17" s="1"/>
      <c r="O17" s="1"/>
      <c r="P17" s="1"/>
    </row>
    <row r="18" ht="3.0" customHeight="1">
      <c r="A18" s="1"/>
      <c r="B18" s="1"/>
      <c r="C18" s="1"/>
      <c r="D18" s="1"/>
      <c r="E18" s="1"/>
      <c r="F18" s="1"/>
      <c r="G18" s="1"/>
      <c r="H18" s="1"/>
      <c r="I18" s="1"/>
      <c r="J18" s="1"/>
      <c r="K18" s="1"/>
      <c r="L18" s="1"/>
      <c r="M18" s="1"/>
      <c r="N18" s="1"/>
      <c r="O18" s="1"/>
      <c r="P18" s="1"/>
    </row>
    <row r="19" ht="3.0" customHeight="1">
      <c r="A19" s="1"/>
      <c r="B19" s="1"/>
      <c r="C19" s="1"/>
      <c r="D19" s="1"/>
      <c r="E19" s="1"/>
      <c r="F19" s="1"/>
      <c r="G19" s="1"/>
      <c r="H19" s="1"/>
      <c r="I19" s="1"/>
      <c r="J19" s="1"/>
      <c r="K19" s="13" t="s">
        <v>133</v>
      </c>
      <c r="L19" s="116">
        <f>'Net Worth'!C11</f>
        <v>137000</v>
      </c>
      <c r="M19" s="1"/>
      <c r="N19" s="1"/>
      <c r="O19" s="1"/>
      <c r="P19" s="1"/>
    </row>
    <row r="20" ht="15.0" customHeight="1">
      <c r="A20" s="1"/>
      <c r="B20" s="1"/>
      <c r="C20" s="1"/>
      <c r="D20" s="1"/>
      <c r="E20" s="1"/>
      <c r="F20" s="1"/>
      <c r="G20" s="1"/>
      <c r="H20" s="1"/>
      <c r="I20" s="1"/>
      <c r="J20" s="1"/>
      <c r="K20" s="13" t="s">
        <v>134</v>
      </c>
      <c r="L20" s="116" t="str">
        <f>'Net Worth'!C12</f>
        <v/>
      </c>
      <c r="M20" s="1"/>
      <c r="N20" s="1"/>
      <c r="O20" s="1"/>
      <c r="P20" s="1"/>
    </row>
    <row r="21" ht="15.75" customHeight="1">
      <c r="A21" s="1"/>
      <c r="B21" s="1"/>
      <c r="C21" s="1"/>
      <c r="D21" s="1"/>
      <c r="E21" s="1"/>
      <c r="F21" s="1"/>
      <c r="G21" s="1"/>
      <c r="H21" s="1"/>
      <c r="I21" s="1"/>
      <c r="J21" s="1"/>
      <c r="K21" s="1"/>
      <c r="L21" s="1"/>
      <c r="M21" s="1"/>
      <c r="N21" s="1"/>
      <c r="O21" s="1"/>
      <c r="P21" s="1"/>
    </row>
    <row r="22" ht="15.75" customHeight="1">
      <c r="A22" s="1"/>
      <c r="B22" s="1"/>
      <c r="C22" s="1"/>
      <c r="D22" s="1"/>
      <c r="E22" s="1"/>
      <c r="F22" s="1"/>
      <c r="G22" s="1"/>
      <c r="H22" s="1"/>
      <c r="I22" s="1"/>
      <c r="J22" s="1"/>
      <c r="K22" s="1"/>
      <c r="L22" s="1"/>
      <c r="M22" s="1"/>
      <c r="N22" s="1"/>
      <c r="O22" s="1"/>
      <c r="P22" s="1"/>
    </row>
    <row r="23" ht="15.75" customHeight="1">
      <c r="A23" s="1"/>
      <c r="B23" s="1"/>
      <c r="C23" s="1"/>
      <c r="D23" s="1"/>
      <c r="E23" s="1"/>
      <c r="F23" s="1"/>
      <c r="G23" s="1"/>
      <c r="H23" s="1"/>
      <c r="I23" s="1"/>
      <c r="J23" s="1"/>
      <c r="K23" s="1"/>
      <c r="L23" s="1"/>
      <c r="M23" s="1"/>
      <c r="N23" s="1"/>
      <c r="O23" s="1"/>
      <c r="P23" s="1"/>
    </row>
    <row r="24" ht="15.75" customHeight="1">
      <c r="A24" s="1"/>
      <c r="B24" s="1"/>
      <c r="C24" s="1"/>
      <c r="D24" s="1"/>
      <c r="E24" s="1"/>
      <c r="F24" s="1"/>
      <c r="G24" s="1"/>
      <c r="H24" s="1"/>
      <c r="I24" s="1"/>
      <c r="J24" s="1"/>
      <c r="K24" s="1"/>
      <c r="L24" s="1"/>
      <c r="M24" s="1"/>
      <c r="N24" s="1"/>
      <c r="O24" s="1"/>
      <c r="P24" s="1"/>
    </row>
    <row r="25" ht="15.75" customHeight="1">
      <c r="A25" s="1"/>
      <c r="B25" s="1"/>
      <c r="C25" s="1"/>
      <c r="D25" s="1"/>
      <c r="E25" s="1"/>
      <c r="F25" s="1"/>
      <c r="G25" s="1"/>
      <c r="H25" s="1"/>
      <c r="I25" s="1"/>
      <c r="J25" s="1"/>
      <c r="K25" s="1"/>
      <c r="L25" s="1"/>
      <c r="M25" s="1"/>
      <c r="N25" s="1"/>
      <c r="O25" s="1"/>
      <c r="P25" s="1"/>
    </row>
    <row r="26" ht="15.75" customHeight="1">
      <c r="A26" s="1"/>
      <c r="B26" s="1"/>
      <c r="C26" s="1"/>
      <c r="D26" s="1"/>
      <c r="E26" s="1"/>
      <c r="F26" s="1"/>
      <c r="G26" s="1"/>
      <c r="H26" s="1"/>
      <c r="I26" s="1"/>
      <c r="J26" s="1"/>
      <c r="K26" s="1"/>
      <c r="L26" s="1"/>
      <c r="M26" s="1"/>
      <c r="N26" s="1"/>
      <c r="O26" s="1"/>
      <c r="P26" s="1"/>
    </row>
    <row r="27" ht="15.75" customHeight="1">
      <c r="A27" s="1"/>
      <c r="B27" s="1"/>
      <c r="C27" s="1"/>
      <c r="D27" s="1"/>
      <c r="E27" s="1"/>
      <c r="F27" s="1"/>
      <c r="G27" s="1"/>
      <c r="H27" s="1"/>
      <c r="I27" s="1"/>
      <c r="J27" s="1"/>
      <c r="K27" s="1"/>
      <c r="L27" s="1"/>
      <c r="M27" s="1"/>
      <c r="N27" s="1"/>
      <c r="O27" s="1"/>
      <c r="P27" s="1"/>
    </row>
    <row r="28" ht="15.75" customHeight="1">
      <c r="A28" s="1"/>
      <c r="B28" s="1"/>
      <c r="C28" s="1"/>
      <c r="D28" s="1"/>
      <c r="E28" s="1"/>
      <c r="F28" s="1"/>
      <c r="G28" s="1"/>
      <c r="H28" s="1"/>
      <c r="I28" s="1"/>
      <c r="J28" s="1"/>
      <c r="K28" s="1"/>
      <c r="L28" s="1"/>
      <c r="M28" s="1"/>
      <c r="N28" s="1"/>
      <c r="O28" s="1"/>
      <c r="P28" s="1"/>
    </row>
    <row r="29" ht="15.75" customHeight="1">
      <c r="A29" s="1"/>
      <c r="B29" s="1"/>
      <c r="C29" s="1"/>
      <c r="D29" s="1"/>
      <c r="E29" s="1"/>
      <c r="F29" s="1"/>
      <c r="G29" s="1"/>
      <c r="H29" s="1"/>
      <c r="I29" s="1"/>
      <c r="J29" s="1"/>
      <c r="K29" s="1"/>
      <c r="L29" s="1"/>
      <c r="M29" s="1"/>
      <c r="N29" s="1"/>
      <c r="O29" s="1"/>
      <c r="P29" s="1"/>
    </row>
    <row r="30" ht="15.75" customHeight="1">
      <c r="A30" s="1"/>
      <c r="B30" s="1"/>
      <c r="C30" s="1"/>
      <c r="D30" s="1"/>
      <c r="E30" s="1"/>
      <c r="F30" s="1"/>
      <c r="G30" s="1"/>
      <c r="H30" s="1"/>
      <c r="I30" s="1"/>
      <c r="J30" s="1"/>
      <c r="K30" s="1"/>
      <c r="L30" s="1"/>
      <c r="M30" s="1"/>
      <c r="N30" s="1"/>
      <c r="O30" s="1"/>
      <c r="P30" s="1"/>
    </row>
    <row r="31" ht="15.75" customHeight="1">
      <c r="A31" s="1"/>
      <c r="B31" s="1"/>
      <c r="C31" s="1"/>
      <c r="D31" s="1"/>
      <c r="E31" s="1"/>
      <c r="F31" s="1"/>
      <c r="G31" s="1"/>
      <c r="H31" s="1"/>
      <c r="I31" s="1"/>
      <c r="J31" s="1"/>
      <c r="K31" s="1"/>
      <c r="L31" s="1"/>
      <c r="M31" s="1"/>
      <c r="N31" s="1"/>
      <c r="O31" s="1"/>
      <c r="P31" s="1"/>
    </row>
    <row r="32" ht="15.75" customHeight="1">
      <c r="A32" s="1"/>
      <c r="B32" s="1"/>
      <c r="C32" s="1"/>
      <c r="D32" s="1"/>
      <c r="F32" s="1"/>
      <c r="G32" s="1"/>
      <c r="H32" s="1"/>
      <c r="I32" s="1"/>
      <c r="J32" s="1"/>
      <c r="K32" s="1"/>
      <c r="L32" s="1"/>
      <c r="M32" s="1"/>
      <c r="N32" s="1"/>
      <c r="O32" s="1"/>
      <c r="P32" s="1"/>
    </row>
    <row r="33" ht="15.75" customHeight="1">
      <c r="A33" s="1"/>
      <c r="B33" s="1"/>
      <c r="C33" s="1"/>
      <c r="D33" s="1"/>
      <c r="E33" s="1"/>
      <c r="F33" s="1"/>
      <c r="G33" s="1"/>
      <c r="H33" s="1"/>
      <c r="I33" s="1"/>
      <c r="J33" s="1"/>
      <c r="K33" s="1"/>
      <c r="L33" s="1"/>
      <c r="M33" s="1"/>
      <c r="N33" s="1"/>
      <c r="O33" s="1"/>
      <c r="P33" s="1"/>
    </row>
    <row r="34" ht="15.75" customHeight="1">
      <c r="A34" s="1"/>
      <c r="B34" s="1"/>
      <c r="C34" s="1"/>
      <c r="D34" s="1"/>
      <c r="E34" s="1"/>
      <c r="F34" s="1"/>
      <c r="G34" s="1"/>
      <c r="H34" s="1"/>
      <c r="I34" s="1"/>
      <c r="J34" s="1"/>
      <c r="K34" s="1"/>
      <c r="L34" s="1"/>
      <c r="M34" s="1"/>
      <c r="N34" s="1"/>
      <c r="O34" s="1"/>
      <c r="P34" s="1"/>
    </row>
    <row r="35" ht="15.75" customHeight="1">
      <c r="A35" s="1"/>
      <c r="B35" s="1"/>
      <c r="C35" s="1"/>
      <c r="D35" s="1"/>
      <c r="E35" s="1"/>
      <c r="F35" s="1"/>
      <c r="G35" s="1"/>
      <c r="H35" s="1"/>
      <c r="I35" s="1"/>
      <c r="J35" s="1"/>
      <c r="K35" s="1"/>
      <c r="L35" s="1"/>
      <c r="M35" s="1"/>
      <c r="N35" s="1"/>
      <c r="O35" s="1"/>
      <c r="P35" s="1"/>
    </row>
    <row r="36" ht="15.75" customHeight="1">
      <c r="A36" s="1"/>
      <c r="B36" s="1"/>
      <c r="C36" s="1"/>
      <c r="D36" s="1"/>
      <c r="E36" s="1"/>
      <c r="F36" s="1"/>
      <c r="G36" s="1"/>
      <c r="H36" s="1"/>
      <c r="I36" s="1"/>
      <c r="J36" s="1"/>
      <c r="K36" s="1"/>
      <c r="L36" s="1"/>
      <c r="M36" s="1"/>
      <c r="N36" s="1"/>
      <c r="O36" s="1"/>
      <c r="P36" s="1"/>
    </row>
    <row r="37" ht="15.75" customHeight="1">
      <c r="A37" s="1"/>
      <c r="B37" s="1"/>
      <c r="C37" s="1"/>
      <c r="D37" s="1"/>
      <c r="E37" s="1"/>
      <c r="F37" s="1"/>
      <c r="G37" s="1"/>
      <c r="H37" s="1"/>
      <c r="I37" s="1"/>
      <c r="J37" s="1"/>
      <c r="K37" s="1"/>
      <c r="L37" s="1"/>
      <c r="M37" s="1"/>
      <c r="N37" s="1"/>
      <c r="O37" s="1"/>
      <c r="P37" s="1"/>
    </row>
    <row r="38" ht="15.75" customHeight="1">
      <c r="A38" s="1"/>
      <c r="B38" s="1"/>
      <c r="C38" s="1"/>
      <c r="D38" s="1"/>
      <c r="E38" s="1"/>
      <c r="F38" s="1"/>
      <c r="G38" s="1"/>
      <c r="H38" s="1"/>
      <c r="I38" s="1"/>
      <c r="J38" s="1"/>
      <c r="K38" s="1"/>
      <c r="L38" s="1"/>
      <c r="M38" s="1"/>
      <c r="N38" s="1"/>
      <c r="O38" s="1"/>
      <c r="P38" s="1"/>
    </row>
    <row r="39" ht="15.75" customHeight="1">
      <c r="A39" s="1"/>
      <c r="B39" s="1"/>
      <c r="C39" s="1"/>
      <c r="D39" s="1"/>
      <c r="E39" s="1"/>
      <c r="F39" s="1"/>
      <c r="G39" s="1"/>
      <c r="H39" s="1"/>
      <c r="I39" s="1"/>
      <c r="J39" s="1"/>
      <c r="K39" s="1"/>
      <c r="L39" s="1"/>
      <c r="M39" s="1"/>
      <c r="N39" s="1"/>
      <c r="O39" s="1"/>
      <c r="P39" s="1"/>
    </row>
    <row r="40" ht="15.75" customHeight="1">
      <c r="A40" s="1"/>
      <c r="B40" s="1"/>
      <c r="C40" s="1"/>
      <c r="D40" s="1"/>
      <c r="E40" s="1"/>
      <c r="F40" s="1"/>
      <c r="G40" s="1"/>
      <c r="H40" s="1"/>
      <c r="I40" s="1"/>
      <c r="J40" s="1"/>
      <c r="K40" s="1"/>
      <c r="L40" s="1"/>
      <c r="M40" s="1"/>
      <c r="N40" s="1"/>
      <c r="O40" s="1"/>
      <c r="P40" s="1"/>
    </row>
    <row r="41" ht="15.75" customHeight="1">
      <c r="A41" s="1"/>
      <c r="B41" s="1"/>
      <c r="C41" s="1"/>
      <c r="D41" s="1"/>
      <c r="E41" s="1"/>
      <c r="F41" s="1"/>
      <c r="G41" s="1"/>
      <c r="H41" s="1"/>
      <c r="I41" s="1"/>
      <c r="J41" s="1"/>
      <c r="K41" s="1"/>
      <c r="L41" s="1"/>
      <c r="M41" s="1"/>
      <c r="N41" s="1"/>
      <c r="O41" s="1"/>
      <c r="P41" s="1"/>
    </row>
    <row r="42" ht="15.75" customHeight="1">
      <c r="A42" s="1"/>
      <c r="B42" s="1"/>
      <c r="C42" s="1"/>
      <c r="D42" s="1"/>
      <c r="E42" s="1"/>
      <c r="F42" s="1"/>
      <c r="G42" s="1"/>
      <c r="H42" s="1"/>
      <c r="I42" s="1"/>
      <c r="J42" s="1"/>
      <c r="K42" s="1"/>
      <c r="L42" s="1"/>
      <c r="M42" s="1"/>
      <c r="N42" s="1"/>
      <c r="O42" s="1"/>
      <c r="P42" s="1"/>
    </row>
    <row r="43" ht="15.75" customHeight="1">
      <c r="A43" s="1"/>
      <c r="B43" s="1"/>
      <c r="C43" s="1"/>
      <c r="D43" s="1"/>
      <c r="E43" s="1"/>
      <c r="F43" s="1"/>
      <c r="G43" s="1"/>
      <c r="H43" s="1"/>
      <c r="I43" s="1"/>
      <c r="J43" s="1"/>
      <c r="K43" s="1"/>
      <c r="L43" s="1"/>
      <c r="M43" s="1"/>
      <c r="N43" s="1"/>
    </row>
    <row r="44" ht="15.75" customHeight="1">
      <c r="A44" s="1"/>
      <c r="B44" s="1"/>
      <c r="C44" s="1"/>
      <c r="D44" s="1"/>
      <c r="E44" s="1"/>
      <c r="F44" s="1"/>
      <c r="G44" s="1"/>
      <c r="H44" s="1"/>
      <c r="I44" s="1"/>
      <c r="J44" s="1"/>
      <c r="K44" s="1"/>
      <c r="L44" s="1"/>
      <c r="M44" s="1"/>
      <c r="N44" s="1"/>
    </row>
    <row r="45" ht="15.75" customHeight="1">
      <c r="A45" s="1"/>
      <c r="B45" s="1"/>
      <c r="C45" s="1"/>
      <c r="D45" s="1"/>
      <c r="E45" s="1"/>
      <c r="F45" s="1"/>
      <c r="G45" s="1"/>
      <c r="H45" s="1"/>
      <c r="I45" s="1"/>
      <c r="J45" s="1"/>
      <c r="K45" s="1"/>
      <c r="L45" s="1"/>
      <c r="M45" s="1"/>
      <c r="N45" s="1"/>
    </row>
    <row r="46" ht="15.75" customHeight="1">
      <c r="A46" s="1"/>
      <c r="B46" s="1"/>
      <c r="C46" s="1"/>
      <c r="D46" s="1"/>
      <c r="E46" s="1"/>
      <c r="F46" s="1"/>
      <c r="G46" s="1"/>
      <c r="H46" s="1"/>
      <c r="I46" s="1"/>
      <c r="J46" s="1"/>
      <c r="K46" s="1"/>
      <c r="L46" s="1"/>
      <c r="M46" s="1"/>
      <c r="N46" s="1"/>
    </row>
    <row r="47" ht="15.75" customHeight="1">
      <c r="A47" s="1"/>
      <c r="B47" s="1"/>
      <c r="C47" s="1"/>
      <c r="D47" s="1"/>
      <c r="E47" s="1"/>
      <c r="F47" s="1"/>
      <c r="G47" s="1"/>
      <c r="H47" s="1"/>
      <c r="I47" s="1"/>
      <c r="J47" s="1"/>
      <c r="K47" s="1"/>
      <c r="L47" s="1"/>
      <c r="M47" s="1"/>
      <c r="N47" s="1"/>
    </row>
    <row r="48" ht="15.75" customHeight="1">
      <c r="A48" s="1"/>
      <c r="B48" s="1"/>
      <c r="C48" s="1"/>
      <c r="D48" s="1"/>
      <c r="E48" s="1"/>
      <c r="F48" s="1"/>
      <c r="G48" s="1"/>
      <c r="H48" s="1"/>
      <c r="I48" s="1"/>
      <c r="J48" s="1"/>
      <c r="K48" s="1"/>
      <c r="L48" s="1"/>
      <c r="M48" s="1"/>
      <c r="N48" s="1"/>
    </row>
    <row r="49" ht="15.75" customHeight="1">
      <c r="A49" s="1"/>
      <c r="B49" s="1"/>
      <c r="C49" s="1"/>
      <c r="D49" s="1"/>
      <c r="E49" s="1"/>
      <c r="F49" s="1"/>
      <c r="G49" s="1"/>
      <c r="H49" s="1"/>
      <c r="I49" s="1"/>
      <c r="J49" s="1"/>
      <c r="K49" s="1"/>
      <c r="L49" s="1"/>
      <c r="M49" s="1"/>
      <c r="N49" s="1"/>
    </row>
    <row r="50" ht="15.75" customHeight="1">
      <c r="A50" s="1"/>
      <c r="B50" s="1"/>
      <c r="C50" s="1"/>
      <c r="D50" s="1"/>
      <c r="E50" s="1"/>
      <c r="F50" s="1"/>
      <c r="G50" s="1"/>
      <c r="H50" s="1"/>
      <c r="I50" s="1"/>
      <c r="J50" s="1"/>
      <c r="K50" s="1"/>
      <c r="L50" s="1"/>
      <c r="M50" s="1"/>
      <c r="N50" s="1"/>
    </row>
    <row r="51" ht="15.75" customHeight="1">
      <c r="A51" s="1"/>
      <c r="B51" s="1"/>
      <c r="C51" s="1"/>
      <c r="D51" s="1"/>
      <c r="E51" s="1"/>
      <c r="F51" s="1"/>
      <c r="G51" s="1"/>
      <c r="H51" s="1"/>
      <c r="I51" s="1"/>
      <c r="J51" s="1"/>
      <c r="K51" s="1"/>
      <c r="L51" s="1"/>
      <c r="M51" s="1"/>
      <c r="N51" s="1"/>
    </row>
    <row r="52" ht="15.75" customHeight="1">
      <c r="A52" s="1"/>
      <c r="B52" s="1"/>
      <c r="C52" s="1"/>
      <c r="D52" s="1"/>
      <c r="E52" s="1"/>
      <c r="F52" s="1"/>
      <c r="G52" s="1"/>
      <c r="H52" s="1"/>
      <c r="I52" s="1"/>
      <c r="J52" s="1"/>
      <c r="K52" s="1"/>
      <c r="L52" s="1"/>
      <c r="M52" s="1"/>
      <c r="N52" s="1"/>
    </row>
    <row r="53" ht="15.75" customHeight="1">
      <c r="A53" s="1"/>
      <c r="B53" s="1"/>
      <c r="C53" s="1"/>
      <c r="D53" s="1"/>
      <c r="E53" s="1"/>
      <c r="F53" s="1"/>
      <c r="G53" s="1"/>
      <c r="H53" s="1"/>
      <c r="I53" s="1"/>
      <c r="J53" s="1"/>
      <c r="K53" s="1"/>
      <c r="L53" s="1"/>
      <c r="M53" s="1"/>
      <c r="N53" s="1"/>
    </row>
    <row r="54" ht="15.75" customHeight="1">
      <c r="A54" s="1"/>
      <c r="B54" s="1"/>
      <c r="C54" s="1"/>
      <c r="D54" s="1"/>
      <c r="E54" s="1"/>
      <c r="F54" s="1"/>
      <c r="G54" s="1"/>
      <c r="H54" s="1"/>
      <c r="I54" s="1"/>
      <c r="J54" s="1"/>
      <c r="K54" s="1"/>
      <c r="L54" s="1"/>
      <c r="M54" s="1"/>
      <c r="N54" s="1"/>
    </row>
    <row r="55" ht="15.75" customHeight="1">
      <c r="A55" s="1"/>
      <c r="B55" s="1"/>
      <c r="C55" s="1"/>
      <c r="D55" s="1"/>
      <c r="E55" s="1"/>
      <c r="F55" s="1"/>
      <c r="G55" s="1"/>
      <c r="H55" s="1"/>
      <c r="I55" s="1"/>
      <c r="J55" s="1"/>
      <c r="K55" s="1"/>
      <c r="L55" s="1"/>
      <c r="M55" s="1"/>
      <c r="N55" s="1"/>
    </row>
    <row r="56" ht="15.75" customHeight="1">
      <c r="A56" s="1"/>
      <c r="B56" s="1"/>
      <c r="C56" s="1"/>
      <c r="D56" s="1"/>
      <c r="E56" s="1"/>
      <c r="F56" s="1"/>
      <c r="G56" s="1"/>
      <c r="H56" s="1"/>
      <c r="I56" s="1"/>
      <c r="J56" s="1"/>
      <c r="K56" s="1"/>
      <c r="L56" s="1"/>
      <c r="M56" s="1"/>
      <c r="N56" s="1"/>
    </row>
    <row r="57" ht="15.75" customHeight="1">
      <c r="A57" s="1"/>
      <c r="B57" s="1"/>
      <c r="C57" s="1"/>
      <c r="D57" s="1"/>
      <c r="E57" s="1"/>
      <c r="F57" s="1"/>
      <c r="G57" s="1"/>
      <c r="H57" s="1"/>
      <c r="I57" s="1"/>
      <c r="J57" s="1"/>
      <c r="K57" s="1"/>
      <c r="L57" s="1"/>
      <c r="M57" s="1"/>
      <c r="N57" s="1"/>
    </row>
    <row r="58" ht="15.75" customHeight="1">
      <c r="A58" s="1"/>
      <c r="B58" s="1"/>
      <c r="C58" s="1"/>
      <c r="D58" s="1"/>
      <c r="E58" s="1"/>
      <c r="F58" s="1"/>
      <c r="G58" s="1"/>
      <c r="H58" s="1"/>
      <c r="I58" s="1"/>
      <c r="J58" s="1"/>
      <c r="K58" s="1"/>
      <c r="L58" s="1"/>
      <c r="M58" s="1"/>
      <c r="N58" s="1"/>
    </row>
    <row r="59" ht="15.75" customHeight="1">
      <c r="A59" s="1"/>
      <c r="B59" s="1"/>
      <c r="C59" s="1"/>
      <c r="D59" s="1"/>
      <c r="E59" s="1"/>
      <c r="F59" s="1"/>
      <c r="G59" s="1"/>
      <c r="H59" s="1"/>
      <c r="I59" s="1"/>
      <c r="J59" s="1"/>
      <c r="K59" s="1"/>
      <c r="L59" s="1"/>
      <c r="M59" s="1"/>
      <c r="N59" s="1"/>
    </row>
    <row r="60" ht="15.75" customHeight="1">
      <c r="A60" s="1"/>
      <c r="B60" s="1"/>
      <c r="C60" s="1"/>
      <c r="D60" s="1"/>
      <c r="E60" s="1"/>
      <c r="F60" s="1"/>
      <c r="G60" s="1"/>
      <c r="H60" s="1"/>
      <c r="I60" s="1"/>
      <c r="J60" s="1"/>
      <c r="K60" s="1"/>
      <c r="L60" s="1"/>
      <c r="M60" s="1"/>
      <c r="N60" s="1"/>
    </row>
    <row r="61" ht="15.75" customHeight="1">
      <c r="A61" s="1"/>
      <c r="B61" s="1"/>
      <c r="C61" s="1"/>
      <c r="D61" s="1"/>
      <c r="E61" s="1"/>
      <c r="F61" s="1"/>
      <c r="G61" s="1"/>
      <c r="H61" s="1"/>
      <c r="I61" s="1"/>
      <c r="J61" s="1"/>
      <c r="K61" s="1"/>
      <c r="L61" s="1"/>
      <c r="M61" s="1"/>
      <c r="N61" s="1"/>
    </row>
    <row r="62" ht="15.75" customHeight="1">
      <c r="A62" s="1"/>
      <c r="B62" s="1"/>
      <c r="C62" s="1"/>
      <c r="D62" s="1"/>
      <c r="E62" s="1"/>
      <c r="F62" s="1"/>
      <c r="G62" s="1"/>
      <c r="H62" s="1"/>
      <c r="I62" s="1"/>
      <c r="J62" s="1"/>
      <c r="K62" s="1"/>
      <c r="L62" s="1"/>
      <c r="M62" s="1"/>
      <c r="N62" s="1"/>
    </row>
    <row r="63" ht="15.75" customHeight="1">
      <c r="A63" s="1"/>
      <c r="B63" s="1"/>
      <c r="C63" s="1"/>
      <c r="D63" s="1"/>
      <c r="E63" s="1"/>
      <c r="F63" s="1"/>
      <c r="G63" s="1"/>
      <c r="H63" s="1"/>
      <c r="I63" s="1"/>
      <c r="J63" s="1"/>
      <c r="K63" s="1"/>
      <c r="L63" s="1"/>
      <c r="M63" s="1"/>
      <c r="N63" s="1"/>
    </row>
    <row r="64" ht="15.75" customHeight="1">
      <c r="A64" s="1"/>
      <c r="B64" s="1"/>
      <c r="C64" s="1"/>
      <c r="D64" s="1"/>
      <c r="E64" s="1"/>
      <c r="F64" s="1"/>
      <c r="G64" s="1"/>
      <c r="H64" s="1"/>
      <c r="I64" s="1"/>
      <c r="J64" s="1"/>
      <c r="K64" s="1"/>
      <c r="L64" s="1"/>
      <c r="M64" s="1"/>
      <c r="N64" s="1"/>
    </row>
    <row r="65" ht="15.75" customHeight="1">
      <c r="A65" s="1"/>
      <c r="B65" s="1"/>
      <c r="C65" s="1"/>
      <c r="D65" s="1"/>
      <c r="E65" s="1"/>
      <c r="F65" s="1"/>
      <c r="G65" s="1"/>
      <c r="H65" s="1"/>
      <c r="I65" s="1"/>
      <c r="J65" s="1"/>
      <c r="K65" s="1"/>
      <c r="L65" s="1"/>
      <c r="M65" s="1"/>
      <c r="N65" s="1"/>
    </row>
    <row r="66" ht="15.75" customHeight="1">
      <c r="A66" s="1"/>
      <c r="B66" s="1"/>
      <c r="C66" s="1"/>
      <c r="D66" s="1"/>
      <c r="E66" s="1"/>
      <c r="F66" s="1"/>
      <c r="G66" s="1"/>
      <c r="H66" s="1"/>
      <c r="I66" s="1"/>
      <c r="J66" s="1"/>
      <c r="K66" s="1"/>
      <c r="L66" s="1"/>
      <c r="M66" s="1"/>
      <c r="N66" s="1"/>
    </row>
    <row r="67" ht="15.75" customHeight="1">
      <c r="A67" s="1"/>
      <c r="B67" s="1"/>
      <c r="C67" s="1"/>
      <c r="D67" s="1"/>
      <c r="E67" s="1"/>
      <c r="F67" s="1"/>
      <c r="G67" s="1"/>
      <c r="H67" s="1"/>
      <c r="I67" s="1"/>
      <c r="J67" s="1"/>
      <c r="K67" s="1"/>
      <c r="L67" s="1"/>
      <c r="M67" s="1"/>
      <c r="N67" s="1"/>
    </row>
    <row r="68" ht="15.75" customHeight="1">
      <c r="A68" s="1"/>
      <c r="B68" s="1"/>
      <c r="C68" s="1"/>
      <c r="D68" s="1"/>
      <c r="E68" s="1"/>
      <c r="F68" s="1"/>
      <c r="G68" s="1"/>
      <c r="H68" s="1"/>
      <c r="I68" s="1"/>
      <c r="J68" s="1"/>
      <c r="K68" s="1"/>
      <c r="L68" s="1"/>
      <c r="M68" s="1"/>
      <c r="N68" s="1"/>
    </row>
    <row r="69" ht="15.75" customHeight="1">
      <c r="A69" s="1"/>
      <c r="B69" s="1"/>
      <c r="C69" s="1"/>
      <c r="D69" s="1"/>
      <c r="E69" s="1"/>
      <c r="F69" s="1"/>
      <c r="G69" s="1"/>
      <c r="H69" s="1"/>
      <c r="I69" s="1"/>
      <c r="J69" s="1"/>
      <c r="K69" s="1"/>
      <c r="L69" s="1"/>
      <c r="M69" s="1"/>
      <c r="N69" s="1"/>
    </row>
    <row r="70" ht="15.75" customHeight="1">
      <c r="A70" s="1"/>
      <c r="B70" s="1"/>
      <c r="C70" s="1"/>
      <c r="D70" s="1"/>
      <c r="E70" s="1"/>
      <c r="F70" s="1"/>
      <c r="G70" s="1"/>
      <c r="H70" s="1"/>
      <c r="I70" s="1"/>
      <c r="J70" s="1"/>
      <c r="K70" s="1"/>
      <c r="L70" s="1"/>
      <c r="M70" s="1"/>
      <c r="N70" s="1"/>
    </row>
    <row r="71" ht="15.75" customHeight="1">
      <c r="A71" s="1"/>
      <c r="B71" s="1"/>
      <c r="C71" s="1"/>
      <c r="D71" s="1"/>
      <c r="E71" s="1"/>
      <c r="F71" s="1"/>
      <c r="G71" s="1"/>
      <c r="H71" s="1"/>
      <c r="I71" s="1"/>
      <c r="J71" s="1"/>
      <c r="K71" s="1"/>
      <c r="L71" s="1"/>
      <c r="M71" s="1"/>
      <c r="N71" s="1"/>
    </row>
    <row r="72" ht="15.75" customHeight="1">
      <c r="A72" s="1"/>
      <c r="B72" s="1"/>
      <c r="C72" s="1"/>
      <c r="D72" s="1"/>
      <c r="E72" s="1"/>
      <c r="F72" s="1"/>
      <c r="G72" s="1"/>
      <c r="H72" s="1"/>
      <c r="I72" s="1"/>
      <c r="J72" s="1"/>
      <c r="K72" s="1"/>
      <c r="L72" s="1"/>
      <c r="M72" s="1"/>
      <c r="N72" s="1"/>
    </row>
    <row r="73" ht="15.75" customHeight="1">
      <c r="A73" s="1"/>
      <c r="B73" s="1"/>
      <c r="C73" s="1"/>
      <c r="D73" s="1"/>
      <c r="E73" s="1"/>
      <c r="F73" s="1"/>
      <c r="G73" s="1"/>
      <c r="H73" s="1"/>
      <c r="I73" s="1"/>
      <c r="J73" s="1"/>
      <c r="K73" s="1"/>
      <c r="L73" s="1"/>
      <c r="M73" s="1"/>
      <c r="N73" s="1"/>
    </row>
    <row r="74" ht="15.75" customHeight="1">
      <c r="A74" s="1"/>
      <c r="B74" s="1"/>
      <c r="C74" s="1"/>
      <c r="D74" s="1"/>
      <c r="E74" s="1"/>
      <c r="F74" s="1"/>
      <c r="G74" s="1"/>
      <c r="H74" s="1"/>
      <c r="I74" s="1"/>
      <c r="J74" s="1"/>
      <c r="K74" s="1"/>
      <c r="L74" s="1"/>
      <c r="M74" s="1"/>
      <c r="N74" s="1"/>
    </row>
    <row r="75" ht="15.75" customHeight="1">
      <c r="A75" s="1"/>
      <c r="B75" s="1"/>
      <c r="C75" s="1"/>
      <c r="D75" s="1"/>
      <c r="E75" s="1"/>
      <c r="F75" s="1"/>
      <c r="G75" s="1"/>
      <c r="H75" s="1"/>
      <c r="I75" s="1"/>
      <c r="J75" s="1"/>
      <c r="K75" s="1"/>
      <c r="L75" s="1"/>
      <c r="M75" s="1"/>
      <c r="N75" s="1"/>
    </row>
    <row r="76" ht="15.75" customHeight="1">
      <c r="A76" s="1"/>
      <c r="B76" s="1"/>
      <c r="C76" s="1"/>
      <c r="D76" s="1"/>
      <c r="E76" s="1"/>
      <c r="F76" s="1"/>
      <c r="G76" s="1"/>
      <c r="H76" s="1"/>
      <c r="I76" s="1"/>
      <c r="J76" s="1"/>
      <c r="K76" s="1"/>
      <c r="L76" s="1"/>
      <c r="M76" s="1"/>
      <c r="N76" s="1"/>
    </row>
    <row r="77" ht="15.75" customHeight="1">
      <c r="A77" s="1"/>
      <c r="B77" s="1"/>
      <c r="C77" s="1"/>
      <c r="D77" s="1"/>
      <c r="E77" s="1"/>
      <c r="F77" s="1"/>
      <c r="G77" s="1"/>
      <c r="H77" s="1"/>
      <c r="I77" s="1"/>
      <c r="J77" s="1"/>
      <c r="K77" s="1"/>
      <c r="L77" s="1"/>
      <c r="M77" s="1"/>
      <c r="N77" s="1"/>
    </row>
    <row r="78" ht="15.75" customHeight="1">
      <c r="A78" s="1"/>
      <c r="B78" s="1"/>
      <c r="C78" s="1"/>
      <c r="D78" s="1"/>
      <c r="E78" s="1"/>
      <c r="F78" s="1"/>
      <c r="G78" s="1"/>
      <c r="H78" s="1"/>
      <c r="I78" s="1"/>
      <c r="J78" s="1"/>
      <c r="K78" s="1"/>
      <c r="L78" s="1"/>
      <c r="M78" s="1"/>
      <c r="N78" s="1"/>
    </row>
    <row r="79" ht="15.75" customHeight="1">
      <c r="A79" s="1"/>
      <c r="B79" s="1"/>
      <c r="C79" s="1"/>
      <c r="D79" s="1"/>
      <c r="E79" s="1"/>
      <c r="F79" s="1"/>
      <c r="G79" s="1"/>
      <c r="H79" s="1"/>
      <c r="I79" s="1"/>
      <c r="J79" s="1"/>
      <c r="K79" s="1"/>
      <c r="L79" s="1"/>
      <c r="M79" s="1"/>
      <c r="N79" s="1"/>
    </row>
    <row r="80" ht="15.75" customHeight="1">
      <c r="A80" s="1"/>
      <c r="B80" s="1"/>
      <c r="C80" s="1"/>
      <c r="D80" s="1"/>
      <c r="E80" s="1"/>
      <c r="F80" s="1"/>
      <c r="G80" s="1"/>
      <c r="H80" s="1"/>
      <c r="I80" s="1"/>
      <c r="J80" s="1"/>
      <c r="K80" s="1"/>
      <c r="L80" s="1"/>
      <c r="M80" s="1"/>
      <c r="N80" s="1"/>
    </row>
    <row r="81" ht="15.75" customHeight="1">
      <c r="A81" s="1"/>
      <c r="B81" s="1"/>
      <c r="C81" s="1"/>
      <c r="D81" s="1"/>
      <c r="E81" s="1"/>
      <c r="F81" s="1"/>
      <c r="G81" s="1"/>
      <c r="H81" s="1"/>
      <c r="I81" s="1"/>
      <c r="J81" s="1"/>
      <c r="K81" s="1"/>
      <c r="L81" s="1"/>
      <c r="M81" s="1"/>
      <c r="N81" s="1"/>
    </row>
    <row r="82" ht="15.75" customHeight="1">
      <c r="A82" s="1"/>
      <c r="B82" s="1"/>
      <c r="C82" s="1"/>
      <c r="D82" s="1"/>
      <c r="E82" s="1"/>
      <c r="F82" s="1"/>
      <c r="G82" s="1"/>
      <c r="H82" s="1"/>
      <c r="I82" s="1"/>
      <c r="J82" s="1"/>
      <c r="K82" s="1"/>
      <c r="L82" s="1"/>
      <c r="M82" s="1"/>
      <c r="N82" s="1"/>
    </row>
    <row r="83" ht="15.75" customHeight="1">
      <c r="A83" s="1"/>
      <c r="B83" s="1"/>
      <c r="C83" s="1"/>
      <c r="D83" s="1"/>
      <c r="E83" s="1"/>
      <c r="F83" s="1"/>
      <c r="G83" s="1"/>
      <c r="H83" s="1"/>
      <c r="I83" s="1"/>
      <c r="J83" s="1"/>
      <c r="K83" s="1"/>
      <c r="L83" s="1"/>
      <c r="M83" s="1"/>
      <c r="N83" s="1"/>
    </row>
    <row r="84" ht="15.75" customHeight="1">
      <c r="A84" s="1"/>
      <c r="B84" s="1"/>
      <c r="C84" s="1"/>
      <c r="D84" s="1"/>
      <c r="E84" s="1"/>
      <c r="F84" s="1"/>
      <c r="G84" s="1"/>
      <c r="H84" s="1"/>
      <c r="I84" s="1"/>
      <c r="J84" s="1"/>
      <c r="K84" s="1"/>
      <c r="L84" s="1"/>
      <c r="M84" s="1"/>
      <c r="N84" s="1"/>
    </row>
    <row r="85" ht="15.75" customHeight="1">
      <c r="A85" s="1"/>
      <c r="B85" s="1"/>
      <c r="C85" s="1"/>
      <c r="D85" s="1"/>
      <c r="E85" s="1"/>
      <c r="F85" s="1"/>
      <c r="G85" s="1"/>
      <c r="H85" s="1"/>
      <c r="I85" s="1"/>
      <c r="J85" s="1"/>
      <c r="K85" s="1"/>
      <c r="L85" s="1"/>
      <c r="M85" s="1"/>
      <c r="N85" s="1"/>
    </row>
    <row r="86" ht="15.75" customHeight="1">
      <c r="A86" s="1"/>
      <c r="B86" s="1"/>
      <c r="C86" s="1"/>
      <c r="D86" s="1"/>
      <c r="E86" s="1"/>
      <c r="F86" s="1"/>
      <c r="G86" s="1"/>
      <c r="H86" s="1"/>
      <c r="I86" s="1"/>
      <c r="J86" s="1"/>
      <c r="K86" s="1"/>
      <c r="L86" s="1"/>
      <c r="M86" s="1"/>
      <c r="N86" s="1"/>
    </row>
    <row r="87" ht="15.75" customHeight="1">
      <c r="A87" s="1"/>
      <c r="B87" s="1"/>
      <c r="C87" s="1"/>
      <c r="D87" s="1"/>
      <c r="E87" s="1"/>
      <c r="F87" s="1"/>
      <c r="G87" s="1"/>
      <c r="H87" s="1"/>
      <c r="I87" s="1"/>
      <c r="J87" s="1"/>
      <c r="K87" s="1"/>
      <c r="L87" s="1"/>
      <c r="M87" s="1"/>
      <c r="N87" s="1"/>
    </row>
    <row r="88" ht="15.75" customHeight="1">
      <c r="A88" s="1"/>
      <c r="B88" s="1"/>
      <c r="C88" s="1"/>
      <c r="D88" s="1"/>
      <c r="E88" s="1"/>
      <c r="F88" s="1"/>
      <c r="G88" s="1"/>
      <c r="H88" s="1"/>
      <c r="I88" s="1"/>
      <c r="J88" s="1"/>
      <c r="K88" s="1"/>
      <c r="L88" s="1"/>
      <c r="M88" s="1"/>
      <c r="N88" s="1"/>
    </row>
    <row r="89" ht="15.75" customHeight="1">
      <c r="A89" s="1"/>
      <c r="B89" s="1"/>
      <c r="C89" s="1"/>
      <c r="D89" s="1"/>
      <c r="E89" s="1"/>
      <c r="F89" s="1"/>
      <c r="G89" s="1"/>
      <c r="H89" s="1"/>
      <c r="I89" s="1"/>
      <c r="J89" s="1"/>
      <c r="K89" s="1"/>
      <c r="L89" s="1"/>
      <c r="M89" s="1"/>
      <c r="N89" s="1"/>
    </row>
    <row r="90" ht="15.75" customHeight="1">
      <c r="A90" s="1"/>
      <c r="B90" s="1"/>
      <c r="C90" s="1"/>
      <c r="D90" s="1"/>
      <c r="E90" s="1"/>
      <c r="F90" s="1"/>
      <c r="G90" s="1"/>
      <c r="H90" s="1"/>
      <c r="I90" s="1"/>
      <c r="J90" s="1"/>
      <c r="K90" s="1"/>
      <c r="L90" s="1"/>
      <c r="M90" s="1"/>
      <c r="N90" s="1"/>
    </row>
    <row r="91" ht="15.75" customHeight="1">
      <c r="A91" s="1"/>
      <c r="B91" s="1"/>
      <c r="C91" s="1"/>
      <c r="D91" s="1"/>
      <c r="E91" s="1"/>
      <c r="F91" s="1"/>
      <c r="G91" s="1"/>
      <c r="H91" s="1"/>
      <c r="I91" s="1"/>
      <c r="J91" s="1"/>
      <c r="K91" s="1"/>
      <c r="L91" s="1"/>
      <c r="M91" s="1"/>
      <c r="N91" s="1"/>
    </row>
    <row r="92" ht="15.75" customHeight="1">
      <c r="A92" s="1"/>
      <c r="B92" s="1"/>
      <c r="C92" s="1"/>
      <c r="D92" s="1"/>
      <c r="E92" s="1"/>
      <c r="F92" s="1"/>
      <c r="G92" s="1"/>
      <c r="H92" s="1"/>
      <c r="I92" s="1"/>
      <c r="J92" s="1"/>
      <c r="K92" s="1"/>
      <c r="L92" s="1"/>
      <c r="M92" s="1"/>
      <c r="N92" s="1"/>
    </row>
    <row r="93" ht="15.75" customHeight="1">
      <c r="A93" s="1"/>
      <c r="B93" s="1"/>
      <c r="C93" s="1"/>
      <c r="D93" s="1"/>
      <c r="E93" s="1"/>
      <c r="F93" s="1"/>
      <c r="G93" s="1"/>
      <c r="H93" s="1"/>
      <c r="I93" s="1"/>
      <c r="J93" s="1"/>
      <c r="K93" s="1"/>
      <c r="L93" s="1"/>
      <c r="M93" s="1"/>
      <c r="N93" s="1"/>
    </row>
    <row r="94" ht="15.75" customHeight="1">
      <c r="A94" s="1"/>
      <c r="B94" s="1"/>
      <c r="C94" s="1"/>
      <c r="D94" s="1"/>
      <c r="E94" s="1"/>
      <c r="F94" s="1"/>
      <c r="G94" s="1"/>
      <c r="H94" s="1"/>
      <c r="I94" s="1"/>
      <c r="J94" s="1"/>
      <c r="K94" s="1"/>
      <c r="L94" s="1"/>
      <c r="M94" s="1"/>
      <c r="N94" s="1"/>
    </row>
    <row r="95" ht="15.75" customHeight="1">
      <c r="A95" s="1"/>
      <c r="B95" s="1"/>
      <c r="C95" s="1"/>
      <c r="D95" s="1"/>
      <c r="E95" s="1"/>
      <c r="F95" s="1"/>
      <c r="G95" s="1"/>
      <c r="H95" s="1"/>
      <c r="I95" s="1"/>
      <c r="J95" s="1"/>
      <c r="K95" s="1"/>
      <c r="L95" s="1"/>
      <c r="M95" s="1"/>
      <c r="N95" s="1"/>
    </row>
    <row r="96" ht="15.75" customHeight="1">
      <c r="A96" s="1"/>
      <c r="B96" s="1"/>
      <c r="C96" s="1"/>
      <c r="D96" s="1"/>
      <c r="E96" s="1"/>
      <c r="F96" s="1"/>
      <c r="G96" s="1"/>
      <c r="H96" s="1"/>
      <c r="I96" s="1"/>
      <c r="J96" s="1"/>
      <c r="K96" s="1"/>
      <c r="L96" s="1"/>
      <c r="M96" s="1"/>
      <c r="N96" s="1"/>
    </row>
    <row r="97" ht="15.75" customHeight="1">
      <c r="A97" s="1"/>
      <c r="B97" s="1"/>
      <c r="C97" s="1"/>
      <c r="D97" s="1"/>
      <c r="E97" s="1"/>
      <c r="F97" s="1"/>
      <c r="G97" s="1"/>
      <c r="H97" s="1"/>
      <c r="I97" s="1"/>
      <c r="J97" s="1"/>
      <c r="K97" s="1"/>
      <c r="L97" s="1"/>
      <c r="M97" s="1"/>
      <c r="N97" s="1"/>
    </row>
    <row r="98" ht="15.75" customHeight="1">
      <c r="A98" s="1"/>
      <c r="B98" s="1"/>
      <c r="C98" s="1"/>
      <c r="D98" s="1"/>
      <c r="E98" s="1"/>
      <c r="F98" s="1"/>
      <c r="G98" s="1"/>
      <c r="H98" s="1"/>
      <c r="I98" s="1"/>
      <c r="J98" s="1"/>
      <c r="K98" s="1"/>
      <c r="L98" s="1"/>
      <c r="M98" s="1"/>
      <c r="N98" s="1"/>
    </row>
    <row r="99" ht="15.75" customHeight="1">
      <c r="A99" s="1"/>
      <c r="B99" s="1"/>
      <c r="C99" s="1"/>
      <c r="D99" s="1"/>
      <c r="E99" s="1"/>
      <c r="F99" s="1"/>
      <c r="G99" s="1"/>
      <c r="H99" s="1"/>
      <c r="I99" s="1"/>
      <c r="J99" s="1"/>
      <c r="K99" s="1"/>
      <c r="L99" s="1"/>
      <c r="M99" s="1"/>
      <c r="N99" s="1"/>
    </row>
    <row r="100" ht="15.75" customHeight="1">
      <c r="A100" s="1"/>
      <c r="B100" s="1"/>
      <c r="C100" s="1"/>
      <c r="D100" s="1"/>
      <c r="E100" s="1"/>
      <c r="F100" s="1"/>
      <c r="G100" s="1"/>
      <c r="H100" s="1"/>
      <c r="I100" s="1"/>
      <c r="J100" s="1"/>
      <c r="K100" s="1"/>
      <c r="L100" s="1"/>
      <c r="M100" s="1"/>
      <c r="N100" s="1"/>
    </row>
    <row r="101" ht="15.75" customHeight="1">
      <c r="A101" s="1"/>
      <c r="B101" s="1"/>
      <c r="C101" s="1"/>
      <c r="D101" s="1"/>
      <c r="E101" s="1"/>
      <c r="F101" s="1"/>
      <c r="G101" s="1"/>
      <c r="H101" s="1"/>
      <c r="I101" s="1"/>
      <c r="J101" s="1"/>
      <c r="K101" s="1"/>
      <c r="L101" s="1"/>
      <c r="M101" s="1"/>
      <c r="N101" s="1"/>
    </row>
    <row r="102" ht="15.75" customHeight="1">
      <c r="A102" s="1"/>
      <c r="B102" s="1"/>
      <c r="C102" s="1"/>
      <c r="D102" s="1"/>
      <c r="E102" s="1"/>
      <c r="F102" s="1"/>
      <c r="G102" s="1"/>
      <c r="H102" s="1"/>
      <c r="I102" s="1"/>
      <c r="J102" s="1"/>
      <c r="K102" s="1"/>
      <c r="L102" s="1"/>
      <c r="M102" s="1"/>
      <c r="N102" s="1"/>
    </row>
    <row r="103" ht="15.75" customHeight="1">
      <c r="A103" s="1"/>
      <c r="B103" s="1"/>
      <c r="C103" s="1"/>
      <c r="D103" s="1"/>
      <c r="E103" s="1"/>
      <c r="F103" s="1"/>
      <c r="G103" s="1"/>
      <c r="H103" s="1"/>
      <c r="I103" s="1"/>
      <c r="J103" s="1"/>
      <c r="K103" s="1"/>
      <c r="L103" s="1"/>
      <c r="M103" s="1"/>
      <c r="N103" s="1"/>
    </row>
    <row r="104" ht="15.75" customHeight="1">
      <c r="A104" s="1"/>
      <c r="B104" s="1"/>
      <c r="C104" s="1"/>
      <c r="D104" s="1"/>
      <c r="E104" s="1"/>
      <c r="F104" s="1"/>
      <c r="G104" s="1"/>
      <c r="H104" s="1"/>
      <c r="I104" s="1"/>
      <c r="J104" s="1"/>
      <c r="K104" s="1"/>
      <c r="L104" s="1"/>
      <c r="M104" s="1"/>
      <c r="N104" s="1"/>
    </row>
    <row r="105" ht="15.75" customHeight="1">
      <c r="A105" s="1"/>
      <c r="B105" s="1"/>
      <c r="C105" s="1"/>
      <c r="D105" s="1"/>
      <c r="E105" s="1"/>
      <c r="F105" s="1"/>
      <c r="G105" s="1"/>
      <c r="H105" s="1"/>
      <c r="I105" s="1"/>
      <c r="J105" s="1"/>
      <c r="K105" s="1"/>
      <c r="L105" s="1"/>
      <c r="M105" s="1"/>
      <c r="N105" s="1"/>
    </row>
    <row r="106" ht="15.75" customHeight="1">
      <c r="A106" s="1"/>
      <c r="B106" s="1"/>
      <c r="C106" s="1"/>
      <c r="D106" s="1"/>
      <c r="E106" s="1"/>
      <c r="F106" s="1"/>
      <c r="G106" s="1"/>
      <c r="H106" s="1"/>
      <c r="I106" s="1"/>
      <c r="J106" s="1"/>
      <c r="K106" s="1"/>
      <c r="L106" s="1"/>
      <c r="M106" s="1"/>
      <c r="N106" s="1"/>
    </row>
    <row r="107" ht="15.75" customHeight="1">
      <c r="A107" s="1"/>
      <c r="B107" s="1"/>
      <c r="C107" s="1"/>
      <c r="D107" s="1"/>
      <c r="E107" s="1"/>
      <c r="F107" s="1"/>
      <c r="G107" s="1"/>
      <c r="H107" s="1"/>
      <c r="I107" s="1"/>
      <c r="J107" s="1"/>
      <c r="K107" s="1"/>
      <c r="L107" s="1"/>
      <c r="M107" s="1"/>
      <c r="N107" s="1"/>
    </row>
    <row r="108" ht="15.75" customHeight="1">
      <c r="A108" s="1"/>
      <c r="B108" s="1"/>
      <c r="C108" s="1"/>
      <c r="D108" s="1"/>
      <c r="E108" s="1"/>
      <c r="F108" s="1"/>
      <c r="G108" s="1"/>
      <c r="H108" s="1"/>
      <c r="I108" s="1"/>
      <c r="J108" s="1"/>
      <c r="K108" s="1"/>
      <c r="L108" s="1"/>
      <c r="M108" s="1"/>
      <c r="N108" s="1"/>
    </row>
    <row r="109" ht="15.75" customHeight="1">
      <c r="A109" s="1"/>
      <c r="B109" s="1"/>
      <c r="C109" s="1"/>
      <c r="D109" s="1"/>
      <c r="E109" s="1"/>
      <c r="F109" s="1"/>
      <c r="G109" s="1"/>
      <c r="H109" s="1"/>
      <c r="I109" s="1"/>
      <c r="J109" s="1"/>
      <c r="K109" s="1"/>
      <c r="L109" s="1"/>
      <c r="M109" s="1"/>
      <c r="N109" s="1"/>
    </row>
    <row r="110" ht="15.75" customHeight="1">
      <c r="A110" s="1"/>
      <c r="B110" s="1"/>
      <c r="C110" s="1"/>
      <c r="D110" s="1"/>
      <c r="E110" s="1"/>
      <c r="F110" s="1"/>
      <c r="G110" s="1"/>
      <c r="H110" s="1"/>
      <c r="I110" s="1"/>
      <c r="J110" s="1"/>
      <c r="K110" s="1"/>
      <c r="L110" s="1"/>
      <c r="M110" s="1"/>
      <c r="N110" s="1"/>
    </row>
    <row r="111" ht="15.75" customHeight="1">
      <c r="A111" s="1"/>
      <c r="B111" s="1"/>
      <c r="C111" s="1"/>
      <c r="D111" s="1"/>
      <c r="E111" s="1"/>
      <c r="F111" s="1"/>
      <c r="G111" s="1"/>
      <c r="H111" s="1"/>
      <c r="I111" s="1"/>
      <c r="J111" s="1"/>
      <c r="K111" s="1"/>
      <c r="L111" s="1"/>
      <c r="M111" s="1"/>
      <c r="N111" s="1"/>
    </row>
    <row r="112" ht="15.75" customHeight="1">
      <c r="A112" s="1"/>
      <c r="B112" s="1"/>
      <c r="C112" s="1"/>
      <c r="D112" s="1"/>
      <c r="E112" s="1"/>
      <c r="F112" s="1"/>
      <c r="G112" s="1"/>
      <c r="H112" s="1"/>
      <c r="I112" s="1"/>
      <c r="J112" s="1"/>
      <c r="K112" s="1"/>
      <c r="L112" s="1"/>
      <c r="M112" s="1"/>
      <c r="N112" s="1"/>
    </row>
    <row r="113" ht="15.75" customHeight="1">
      <c r="A113" s="1"/>
      <c r="B113" s="1"/>
      <c r="C113" s="1"/>
      <c r="D113" s="1"/>
      <c r="E113" s="1"/>
      <c r="F113" s="1"/>
      <c r="G113" s="1"/>
      <c r="H113" s="1"/>
      <c r="I113" s="1"/>
      <c r="J113" s="1"/>
      <c r="K113" s="1"/>
      <c r="L113" s="1"/>
      <c r="M113" s="1"/>
      <c r="N113" s="1"/>
    </row>
    <row r="114" ht="15.75" customHeight="1">
      <c r="A114" s="1"/>
      <c r="B114" s="1"/>
      <c r="C114" s="1"/>
      <c r="D114" s="1"/>
      <c r="E114" s="1"/>
      <c r="F114" s="1"/>
      <c r="G114" s="1"/>
      <c r="H114" s="1"/>
      <c r="I114" s="1"/>
      <c r="J114" s="1"/>
      <c r="K114" s="1"/>
      <c r="L114" s="1"/>
      <c r="M114" s="1"/>
      <c r="N114" s="1"/>
    </row>
    <row r="115" ht="15.75" customHeight="1">
      <c r="A115" s="1"/>
      <c r="B115" s="1"/>
      <c r="C115" s="1"/>
      <c r="D115" s="1"/>
      <c r="E115" s="1"/>
      <c r="F115" s="1"/>
      <c r="G115" s="1"/>
      <c r="H115" s="1"/>
      <c r="I115" s="1"/>
      <c r="J115" s="1"/>
      <c r="K115" s="1"/>
      <c r="L115" s="1"/>
      <c r="M115" s="1"/>
      <c r="N115" s="1"/>
    </row>
    <row r="116" ht="15.75" customHeight="1">
      <c r="A116" s="1"/>
      <c r="B116" s="1"/>
      <c r="C116" s="1"/>
      <c r="D116" s="1"/>
      <c r="E116" s="1"/>
      <c r="F116" s="1"/>
      <c r="G116" s="1"/>
      <c r="H116" s="1"/>
      <c r="I116" s="1"/>
      <c r="J116" s="1"/>
      <c r="K116" s="1"/>
      <c r="L116" s="1"/>
      <c r="M116" s="1"/>
      <c r="N116" s="1"/>
    </row>
    <row r="117" ht="15.75" customHeight="1">
      <c r="A117" s="1"/>
      <c r="B117" s="1"/>
      <c r="C117" s="1"/>
      <c r="D117" s="1"/>
      <c r="E117" s="1"/>
      <c r="F117" s="1"/>
      <c r="G117" s="1"/>
      <c r="H117" s="1"/>
      <c r="I117" s="1"/>
      <c r="J117" s="1"/>
      <c r="K117" s="1"/>
      <c r="L117" s="1"/>
      <c r="M117" s="1"/>
      <c r="N117" s="1"/>
    </row>
    <row r="118" ht="15.75" customHeight="1">
      <c r="A118" s="1"/>
      <c r="B118" s="1"/>
      <c r="C118" s="1"/>
      <c r="D118" s="1"/>
      <c r="E118" s="1"/>
      <c r="F118" s="1"/>
      <c r="G118" s="1"/>
      <c r="H118" s="1"/>
      <c r="I118" s="1"/>
      <c r="J118" s="1"/>
      <c r="K118" s="1"/>
      <c r="L118" s="1"/>
      <c r="M118" s="1"/>
      <c r="N118" s="1"/>
    </row>
    <row r="119" ht="15.75" customHeight="1">
      <c r="A119" s="1"/>
      <c r="B119" s="1"/>
      <c r="C119" s="1"/>
      <c r="D119" s="1"/>
      <c r="E119" s="1"/>
      <c r="F119" s="1"/>
      <c r="G119" s="1"/>
      <c r="H119" s="1"/>
      <c r="I119" s="1"/>
      <c r="J119" s="1"/>
      <c r="K119" s="1"/>
      <c r="L119" s="1"/>
      <c r="M119" s="1"/>
      <c r="N119" s="1"/>
    </row>
    <row r="120" ht="15.75" customHeight="1">
      <c r="A120" s="1"/>
      <c r="B120" s="1"/>
      <c r="C120" s="1"/>
      <c r="D120" s="1"/>
      <c r="E120" s="1"/>
      <c r="F120" s="1"/>
      <c r="G120" s="1"/>
      <c r="H120" s="1"/>
      <c r="I120" s="1"/>
      <c r="J120" s="1"/>
      <c r="K120" s="1"/>
      <c r="L120" s="1"/>
      <c r="M120" s="1"/>
      <c r="N120" s="1"/>
    </row>
    <row r="121" ht="15.75" customHeight="1">
      <c r="A121" s="1"/>
      <c r="B121" s="1"/>
      <c r="C121" s="1"/>
      <c r="D121" s="1"/>
      <c r="E121" s="1"/>
      <c r="F121" s="1"/>
      <c r="G121" s="1"/>
      <c r="H121" s="1"/>
      <c r="I121" s="1"/>
      <c r="J121" s="1"/>
      <c r="K121" s="1"/>
      <c r="L121" s="1"/>
      <c r="M121" s="1"/>
      <c r="N121" s="1"/>
    </row>
    <row r="122" ht="15.75" customHeight="1">
      <c r="A122" s="1"/>
      <c r="B122" s="1"/>
      <c r="C122" s="1"/>
      <c r="D122" s="1"/>
      <c r="E122" s="1"/>
      <c r="F122" s="1"/>
      <c r="G122" s="1"/>
      <c r="H122" s="1"/>
      <c r="I122" s="1"/>
      <c r="J122" s="1"/>
      <c r="K122" s="1"/>
      <c r="L122" s="1"/>
      <c r="M122" s="1"/>
      <c r="N122" s="1"/>
    </row>
    <row r="123" ht="15.75" customHeight="1">
      <c r="A123" s="1"/>
      <c r="B123" s="1"/>
      <c r="C123" s="1"/>
      <c r="D123" s="1"/>
      <c r="E123" s="1"/>
      <c r="F123" s="1"/>
      <c r="G123" s="1"/>
      <c r="H123" s="1"/>
      <c r="I123" s="1"/>
      <c r="J123" s="1"/>
      <c r="K123" s="1"/>
      <c r="L123" s="1"/>
      <c r="M123" s="1"/>
      <c r="N123" s="1"/>
    </row>
    <row r="124" ht="15.75" customHeight="1">
      <c r="A124" s="1"/>
      <c r="B124" s="1"/>
      <c r="C124" s="1"/>
      <c r="D124" s="1"/>
      <c r="E124" s="1"/>
      <c r="F124" s="1"/>
      <c r="G124" s="1"/>
      <c r="H124" s="1"/>
      <c r="I124" s="1"/>
      <c r="J124" s="1"/>
      <c r="K124" s="1"/>
      <c r="L124" s="1"/>
      <c r="M124" s="1"/>
      <c r="N124" s="1"/>
    </row>
    <row r="125" ht="15.75" customHeight="1">
      <c r="A125" s="1"/>
      <c r="B125" s="1"/>
      <c r="C125" s="1"/>
      <c r="D125" s="1"/>
      <c r="E125" s="1"/>
      <c r="F125" s="1"/>
      <c r="G125" s="1"/>
      <c r="H125" s="1"/>
      <c r="I125" s="1"/>
      <c r="J125" s="1"/>
      <c r="K125" s="1"/>
      <c r="L125" s="1"/>
      <c r="M125" s="1"/>
      <c r="N125" s="1"/>
    </row>
    <row r="126" ht="15.75" customHeight="1">
      <c r="A126" s="1"/>
      <c r="B126" s="1"/>
      <c r="C126" s="1"/>
      <c r="D126" s="1"/>
      <c r="E126" s="1"/>
      <c r="F126" s="1"/>
      <c r="G126" s="1"/>
      <c r="H126" s="1"/>
      <c r="I126" s="1"/>
      <c r="J126" s="1"/>
      <c r="K126" s="1"/>
      <c r="L126" s="1"/>
      <c r="M126" s="1"/>
      <c r="N126" s="1"/>
    </row>
    <row r="127" ht="15.75" customHeight="1">
      <c r="A127" s="1"/>
      <c r="B127" s="1"/>
      <c r="C127" s="1"/>
      <c r="D127" s="1"/>
      <c r="E127" s="1"/>
      <c r="F127" s="1"/>
      <c r="G127" s="1"/>
      <c r="H127" s="1"/>
      <c r="I127" s="1"/>
      <c r="J127" s="1"/>
      <c r="K127" s="1"/>
      <c r="L127" s="1"/>
      <c r="M127" s="1"/>
      <c r="N127" s="1"/>
    </row>
    <row r="128" ht="15.75" customHeight="1">
      <c r="A128" s="1"/>
      <c r="B128" s="1"/>
      <c r="C128" s="1"/>
      <c r="D128" s="1"/>
      <c r="E128" s="1"/>
      <c r="F128" s="1"/>
      <c r="G128" s="1"/>
      <c r="H128" s="1"/>
      <c r="I128" s="1"/>
      <c r="J128" s="1"/>
      <c r="K128" s="1"/>
      <c r="L128" s="1"/>
      <c r="M128" s="1"/>
      <c r="N128" s="1"/>
    </row>
    <row r="129" ht="15.75" customHeight="1">
      <c r="A129" s="1"/>
      <c r="B129" s="1"/>
      <c r="C129" s="1"/>
      <c r="D129" s="1"/>
      <c r="E129" s="1"/>
      <c r="F129" s="1"/>
      <c r="G129" s="1"/>
      <c r="H129" s="1"/>
      <c r="I129" s="1"/>
      <c r="J129" s="1"/>
      <c r="K129" s="1"/>
      <c r="L129" s="1"/>
      <c r="M129" s="1"/>
      <c r="N129" s="1"/>
    </row>
    <row r="130" ht="15.75" customHeight="1">
      <c r="A130" s="1"/>
      <c r="B130" s="1"/>
      <c r="C130" s="1"/>
      <c r="D130" s="1"/>
      <c r="E130" s="1"/>
      <c r="F130" s="1"/>
      <c r="G130" s="1"/>
      <c r="H130" s="1"/>
      <c r="I130" s="1"/>
      <c r="J130" s="1"/>
      <c r="K130" s="1"/>
      <c r="L130" s="1"/>
      <c r="M130" s="1"/>
      <c r="N130" s="1"/>
    </row>
    <row r="131" ht="15.75" customHeight="1">
      <c r="A131" s="1"/>
      <c r="B131" s="1"/>
      <c r="C131" s="1"/>
      <c r="D131" s="1"/>
      <c r="E131" s="1"/>
      <c r="F131" s="1"/>
      <c r="G131" s="1"/>
      <c r="H131" s="1"/>
      <c r="I131" s="1"/>
      <c r="J131" s="1"/>
      <c r="K131" s="1"/>
      <c r="L131" s="1"/>
      <c r="M131" s="1"/>
      <c r="N131" s="1"/>
    </row>
    <row r="132" ht="15.75" customHeight="1">
      <c r="A132" s="1"/>
      <c r="B132" s="1"/>
      <c r="C132" s="1"/>
      <c r="D132" s="1"/>
      <c r="E132" s="1"/>
      <c r="F132" s="1"/>
      <c r="G132" s="1"/>
      <c r="H132" s="1"/>
      <c r="I132" s="1"/>
      <c r="J132" s="1"/>
      <c r="K132" s="1"/>
      <c r="L132" s="1"/>
      <c r="M132" s="1"/>
      <c r="N132" s="1"/>
    </row>
    <row r="133" ht="15.75" customHeight="1">
      <c r="A133" s="1"/>
      <c r="B133" s="1"/>
      <c r="C133" s="1"/>
      <c r="D133" s="1"/>
      <c r="E133" s="1"/>
      <c r="F133" s="1"/>
      <c r="G133" s="1"/>
      <c r="H133" s="1"/>
      <c r="I133" s="1"/>
      <c r="J133" s="1"/>
      <c r="K133" s="1"/>
      <c r="L133" s="1"/>
      <c r="M133" s="1"/>
      <c r="N133" s="1"/>
    </row>
    <row r="134" ht="15.75" customHeight="1">
      <c r="A134" s="1"/>
      <c r="B134" s="1"/>
      <c r="C134" s="1"/>
      <c r="D134" s="1"/>
      <c r="E134" s="1"/>
      <c r="F134" s="1"/>
      <c r="G134" s="1"/>
      <c r="H134" s="1"/>
      <c r="I134" s="1"/>
      <c r="J134" s="1"/>
      <c r="K134" s="1"/>
      <c r="L134" s="1"/>
      <c r="M134" s="1"/>
      <c r="N134" s="1"/>
    </row>
    <row r="135" ht="15.75" customHeight="1">
      <c r="A135" s="1"/>
      <c r="B135" s="1"/>
      <c r="C135" s="1"/>
      <c r="D135" s="1"/>
      <c r="E135" s="1"/>
      <c r="F135" s="1"/>
      <c r="G135" s="1"/>
      <c r="H135" s="1"/>
      <c r="I135" s="1"/>
      <c r="J135" s="1"/>
      <c r="K135" s="1"/>
      <c r="L135" s="1"/>
      <c r="M135" s="1"/>
      <c r="N135" s="1"/>
    </row>
    <row r="136" ht="15.75" customHeight="1">
      <c r="A136" s="1"/>
      <c r="B136" s="1"/>
      <c r="C136" s="1"/>
      <c r="D136" s="1"/>
      <c r="E136" s="1"/>
      <c r="F136" s="1"/>
      <c r="G136" s="1"/>
      <c r="H136" s="1"/>
      <c r="I136" s="1"/>
      <c r="J136" s="1"/>
      <c r="K136" s="1"/>
      <c r="L136" s="1"/>
      <c r="M136" s="1"/>
      <c r="N136" s="1"/>
    </row>
    <row r="137" ht="15.75" customHeight="1">
      <c r="A137" s="1"/>
      <c r="B137" s="1"/>
      <c r="C137" s="1"/>
      <c r="D137" s="1"/>
      <c r="E137" s="1"/>
      <c r="F137" s="1"/>
      <c r="G137" s="1"/>
      <c r="H137" s="1"/>
      <c r="I137" s="1"/>
      <c r="J137" s="1"/>
      <c r="K137" s="1"/>
      <c r="L137" s="1"/>
      <c r="M137" s="1"/>
      <c r="N137" s="1"/>
    </row>
    <row r="138" ht="15.75" customHeight="1">
      <c r="A138" s="1"/>
      <c r="B138" s="1"/>
      <c r="C138" s="1"/>
      <c r="D138" s="1"/>
      <c r="E138" s="1"/>
      <c r="F138" s="1"/>
      <c r="G138" s="1"/>
      <c r="H138" s="1"/>
      <c r="I138" s="1"/>
      <c r="J138" s="1"/>
      <c r="K138" s="1"/>
      <c r="L138" s="1"/>
      <c r="M138" s="1"/>
      <c r="N138" s="1"/>
    </row>
    <row r="139" ht="15.75" customHeight="1">
      <c r="A139" s="1"/>
      <c r="B139" s="1"/>
      <c r="C139" s="1"/>
      <c r="D139" s="1"/>
      <c r="E139" s="1"/>
      <c r="F139" s="1"/>
      <c r="G139" s="1"/>
      <c r="H139" s="1"/>
      <c r="I139" s="1"/>
      <c r="J139" s="1"/>
      <c r="K139" s="1"/>
      <c r="L139" s="1"/>
      <c r="M139" s="1"/>
      <c r="N139" s="1"/>
    </row>
    <row r="140" ht="15.75" customHeight="1">
      <c r="A140" s="1"/>
      <c r="B140" s="1"/>
      <c r="C140" s="1"/>
      <c r="D140" s="1"/>
      <c r="E140" s="1"/>
      <c r="F140" s="1"/>
      <c r="G140" s="1"/>
      <c r="H140" s="1"/>
      <c r="I140" s="1"/>
      <c r="J140" s="1"/>
      <c r="K140" s="1"/>
      <c r="L140" s="1"/>
      <c r="M140" s="1"/>
      <c r="N140" s="1"/>
    </row>
    <row r="141" ht="15.75" customHeight="1">
      <c r="A141" s="1"/>
      <c r="B141" s="1"/>
      <c r="C141" s="1"/>
      <c r="D141" s="1"/>
      <c r="E141" s="1"/>
      <c r="F141" s="1"/>
      <c r="G141" s="1"/>
      <c r="H141" s="1"/>
      <c r="I141" s="1"/>
      <c r="J141" s="1"/>
      <c r="K141" s="1"/>
      <c r="L141" s="1"/>
      <c r="M141" s="1"/>
      <c r="N141" s="1"/>
    </row>
    <row r="142" ht="15.75" customHeight="1">
      <c r="A142" s="1"/>
      <c r="B142" s="1"/>
      <c r="C142" s="1"/>
      <c r="D142" s="1"/>
      <c r="E142" s="1"/>
      <c r="F142" s="1"/>
      <c r="G142" s="1"/>
      <c r="H142" s="1"/>
      <c r="I142" s="1"/>
      <c r="J142" s="1"/>
      <c r="K142" s="1"/>
      <c r="L142" s="1"/>
      <c r="M142" s="1"/>
      <c r="N142" s="1"/>
    </row>
    <row r="143" ht="15.75" customHeight="1">
      <c r="A143" s="1"/>
      <c r="B143" s="1"/>
      <c r="C143" s="1"/>
      <c r="D143" s="1"/>
      <c r="E143" s="1"/>
      <c r="F143" s="1"/>
      <c r="G143" s="1"/>
      <c r="H143" s="1"/>
      <c r="I143" s="1"/>
      <c r="J143" s="1"/>
      <c r="K143" s="1"/>
      <c r="L143" s="1"/>
      <c r="M143" s="1"/>
      <c r="N143" s="1"/>
    </row>
    <row r="144" ht="15.75" customHeight="1">
      <c r="A144" s="1"/>
      <c r="B144" s="1"/>
      <c r="C144" s="1"/>
      <c r="D144" s="1"/>
      <c r="E144" s="1"/>
      <c r="F144" s="1"/>
      <c r="G144" s="1"/>
      <c r="H144" s="1"/>
      <c r="I144" s="1"/>
      <c r="J144" s="1"/>
      <c r="K144" s="1"/>
      <c r="L144" s="1"/>
      <c r="M144" s="1"/>
      <c r="N144" s="1"/>
    </row>
    <row r="145" ht="15.75" customHeight="1">
      <c r="A145" s="1"/>
      <c r="B145" s="1"/>
      <c r="C145" s="1"/>
      <c r="D145" s="1"/>
      <c r="E145" s="1"/>
      <c r="F145" s="1"/>
      <c r="G145" s="1"/>
      <c r="H145" s="1"/>
      <c r="I145" s="1"/>
      <c r="J145" s="1"/>
      <c r="K145" s="1"/>
      <c r="L145" s="1"/>
      <c r="M145" s="1"/>
      <c r="N145" s="1"/>
    </row>
    <row r="146" ht="15.75" customHeight="1">
      <c r="A146" s="1"/>
      <c r="B146" s="1"/>
      <c r="C146" s="1"/>
      <c r="D146" s="1"/>
      <c r="E146" s="1"/>
      <c r="F146" s="1"/>
      <c r="G146" s="1"/>
      <c r="H146" s="1"/>
      <c r="I146" s="1"/>
      <c r="J146" s="1"/>
      <c r="K146" s="1"/>
      <c r="L146" s="1"/>
      <c r="M146" s="1"/>
      <c r="N146" s="1"/>
    </row>
    <row r="147" ht="15.75" customHeight="1">
      <c r="A147" s="1"/>
      <c r="B147" s="1"/>
      <c r="C147" s="1"/>
      <c r="D147" s="1"/>
      <c r="E147" s="1"/>
      <c r="F147" s="1"/>
      <c r="G147" s="1"/>
      <c r="H147" s="1"/>
      <c r="I147" s="1"/>
      <c r="J147" s="1"/>
      <c r="K147" s="1"/>
      <c r="L147" s="1"/>
      <c r="M147" s="1"/>
      <c r="N147" s="1"/>
    </row>
    <row r="148" ht="15.75" customHeight="1">
      <c r="A148" s="1"/>
      <c r="B148" s="1"/>
      <c r="C148" s="1"/>
      <c r="D148" s="1"/>
      <c r="E148" s="1"/>
      <c r="F148" s="1"/>
      <c r="G148" s="1"/>
      <c r="H148" s="1"/>
      <c r="I148" s="1"/>
      <c r="J148" s="1"/>
      <c r="K148" s="1"/>
      <c r="L148" s="1"/>
      <c r="M148" s="1"/>
      <c r="N148" s="1"/>
    </row>
    <row r="149" ht="15.75" customHeight="1">
      <c r="A149" s="1"/>
      <c r="B149" s="1"/>
      <c r="C149" s="1"/>
      <c r="D149" s="1"/>
      <c r="E149" s="1"/>
      <c r="F149" s="1"/>
      <c r="G149" s="1"/>
      <c r="H149" s="1"/>
      <c r="I149" s="1"/>
      <c r="J149" s="1"/>
      <c r="K149" s="1"/>
      <c r="L149" s="1"/>
      <c r="M149" s="1"/>
      <c r="N149" s="1"/>
    </row>
    <row r="150" ht="15.75" customHeight="1">
      <c r="A150" s="1"/>
      <c r="B150" s="1"/>
      <c r="C150" s="1"/>
      <c r="D150" s="1"/>
      <c r="E150" s="1"/>
      <c r="F150" s="1"/>
      <c r="G150" s="1"/>
      <c r="H150" s="1"/>
      <c r="I150" s="1"/>
      <c r="J150" s="1"/>
      <c r="K150" s="1"/>
      <c r="L150" s="1"/>
      <c r="M150" s="1"/>
      <c r="N150" s="1"/>
    </row>
    <row r="151" ht="15.75" customHeight="1">
      <c r="A151" s="1"/>
      <c r="B151" s="1"/>
      <c r="C151" s="1"/>
      <c r="D151" s="1"/>
      <c r="E151" s="1"/>
      <c r="F151" s="1"/>
      <c r="G151" s="1"/>
      <c r="H151" s="1"/>
      <c r="I151" s="1"/>
      <c r="J151" s="1"/>
      <c r="K151" s="1"/>
      <c r="L151" s="1"/>
      <c r="M151" s="1"/>
      <c r="N151" s="1"/>
    </row>
    <row r="152" ht="15.75" customHeight="1">
      <c r="A152" s="1"/>
      <c r="B152" s="1"/>
      <c r="C152" s="1"/>
      <c r="D152" s="1"/>
      <c r="E152" s="1"/>
      <c r="F152" s="1"/>
      <c r="G152" s="1"/>
      <c r="H152" s="1"/>
      <c r="I152" s="1"/>
      <c r="J152" s="1"/>
      <c r="K152" s="1"/>
      <c r="L152" s="1"/>
      <c r="M152" s="1"/>
      <c r="N152" s="1"/>
    </row>
    <row r="153" ht="15.75" customHeight="1">
      <c r="A153" s="1"/>
      <c r="B153" s="1"/>
      <c r="C153" s="1"/>
      <c r="D153" s="1"/>
      <c r="E153" s="1"/>
      <c r="F153" s="1"/>
      <c r="G153" s="1"/>
      <c r="H153" s="1"/>
      <c r="I153" s="1"/>
      <c r="J153" s="1"/>
      <c r="K153" s="1"/>
      <c r="L153" s="1"/>
      <c r="M153" s="1"/>
      <c r="N153" s="1"/>
    </row>
    <row r="154" ht="15.75" customHeight="1">
      <c r="A154" s="1"/>
      <c r="B154" s="1"/>
      <c r="C154" s="1"/>
      <c r="D154" s="1"/>
      <c r="E154" s="1"/>
      <c r="F154" s="1"/>
      <c r="G154" s="1"/>
      <c r="H154" s="1"/>
      <c r="I154" s="1"/>
      <c r="J154" s="1"/>
      <c r="K154" s="1"/>
      <c r="L154" s="1"/>
      <c r="M154" s="1"/>
      <c r="N154" s="1"/>
    </row>
    <row r="155" ht="15.75" customHeight="1">
      <c r="A155" s="1"/>
      <c r="B155" s="1"/>
      <c r="C155" s="1"/>
      <c r="D155" s="1"/>
      <c r="E155" s="1"/>
      <c r="F155" s="1"/>
      <c r="G155" s="1"/>
      <c r="H155" s="1"/>
      <c r="I155" s="1"/>
      <c r="J155" s="1"/>
      <c r="K155" s="1"/>
      <c r="L155" s="1"/>
      <c r="M155" s="1"/>
      <c r="N155" s="1"/>
    </row>
    <row r="156" ht="15.75" customHeight="1">
      <c r="A156" s="1"/>
      <c r="B156" s="1"/>
      <c r="C156" s="1"/>
      <c r="D156" s="1"/>
      <c r="E156" s="1"/>
      <c r="F156" s="1"/>
      <c r="G156" s="1"/>
      <c r="H156" s="1"/>
      <c r="I156" s="1"/>
      <c r="J156" s="1"/>
      <c r="K156" s="1"/>
      <c r="L156" s="1"/>
      <c r="M156" s="1"/>
      <c r="N156" s="1"/>
    </row>
    <row r="157" ht="15.75" customHeight="1">
      <c r="A157" s="1"/>
      <c r="B157" s="1"/>
      <c r="C157" s="1"/>
      <c r="D157" s="1"/>
      <c r="E157" s="1"/>
      <c r="F157" s="1"/>
      <c r="G157" s="1"/>
      <c r="H157" s="1"/>
      <c r="I157" s="1"/>
      <c r="J157" s="1"/>
      <c r="K157" s="1"/>
      <c r="L157" s="1"/>
      <c r="M157" s="1"/>
      <c r="N157" s="1"/>
    </row>
    <row r="158" ht="15.75" customHeight="1">
      <c r="A158" s="1"/>
      <c r="B158" s="1"/>
      <c r="C158" s="1"/>
      <c r="D158" s="1"/>
      <c r="E158" s="1"/>
      <c r="F158" s="1"/>
      <c r="G158" s="1"/>
      <c r="H158" s="1"/>
      <c r="I158" s="1"/>
      <c r="J158" s="1"/>
      <c r="K158" s="1"/>
      <c r="L158" s="1"/>
      <c r="M158" s="1"/>
      <c r="N158" s="1"/>
    </row>
    <row r="159" ht="15.75" customHeight="1">
      <c r="A159" s="1"/>
      <c r="B159" s="1"/>
      <c r="C159" s="1"/>
      <c r="D159" s="1"/>
      <c r="E159" s="1"/>
      <c r="F159" s="1"/>
      <c r="G159" s="1"/>
      <c r="H159" s="1"/>
      <c r="I159" s="1"/>
      <c r="J159" s="1"/>
      <c r="K159" s="1"/>
      <c r="L159" s="1"/>
      <c r="M159" s="1"/>
      <c r="N159" s="1"/>
    </row>
    <row r="160" ht="15.75" customHeight="1">
      <c r="A160" s="1"/>
      <c r="B160" s="1"/>
      <c r="C160" s="1"/>
      <c r="D160" s="1"/>
      <c r="E160" s="1"/>
      <c r="F160" s="1"/>
      <c r="G160" s="1"/>
      <c r="H160" s="1"/>
      <c r="I160" s="1"/>
      <c r="J160" s="1"/>
      <c r="K160" s="1"/>
      <c r="L160" s="1"/>
      <c r="M160" s="1"/>
      <c r="N160" s="1"/>
    </row>
    <row r="161" ht="15.75" customHeight="1">
      <c r="A161" s="1"/>
      <c r="B161" s="1"/>
      <c r="C161" s="1"/>
      <c r="D161" s="1"/>
      <c r="E161" s="1"/>
      <c r="F161" s="1"/>
      <c r="G161" s="1"/>
      <c r="H161" s="1"/>
      <c r="I161" s="1"/>
      <c r="J161" s="1"/>
      <c r="K161" s="1"/>
      <c r="L161" s="1"/>
      <c r="M161" s="1"/>
      <c r="N161" s="1"/>
    </row>
    <row r="162" ht="15.75" customHeight="1">
      <c r="A162" s="1"/>
      <c r="B162" s="1"/>
      <c r="C162" s="1"/>
      <c r="D162" s="1"/>
      <c r="E162" s="1"/>
      <c r="F162" s="1"/>
      <c r="G162" s="1"/>
      <c r="H162" s="1"/>
      <c r="I162" s="1"/>
      <c r="J162" s="1"/>
      <c r="K162" s="1"/>
      <c r="L162" s="1"/>
      <c r="M162" s="1"/>
      <c r="N162" s="1"/>
    </row>
    <row r="163" ht="15.75" customHeight="1">
      <c r="A163" s="1"/>
      <c r="B163" s="1"/>
      <c r="C163" s="1"/>
      <c r="D163" s="1"/>
      <c r="E163" s="1"/>
      <c r="F163" s="1"/>
      <c r="G163" s="1"/>
      <c r="H163" s="1"/>
      <c r="I163" s="1"/>
      <c r="J163" s="1"/>
      <c r="K163" s="1"/>
      <c r="L163" s="1"/>
      <c r="M163" s="1"/>
      <c r="N163" s="1"/>
    </row>
    <row r="164" ht="15.75" customHeight="1">
      <c r="A164" s="1"/>
      <c r="B164" s="1"/>
      <c r="C164" s="1"/>
      <c r="D164" s="1"/>
      <c r="E164" s="1"/>
      <c r="F164" s="1"/>
      <c r="G164" s="1"/>
      <c r="H164" s="1"/>
      <c r="I164" s="1"/>
      <c r="J164" s="1"/>
      <c r="K164" s="1"/>
      <c r="L164" s="1"/>
      <c r="M164" s="1"/>
      <c r="N164" s="1"/>
    </row>
    <row r="165" ht="15.75" customHeight="1">
      <c r="A165" s="1"/>
      <c r="B165" s="1"/>
      <c r="C165" s="1"/>
      <c r="D165" s="1"/>
      <c r="E165" s="1"/>
      <c r="F165" s="1"/>
      <c r="G165" s="1"/>
      <c r="H165" s="1"/>
      <c r="I165" s="1"/>
      <c r="J165" s="1"/>
      <c r="K165" s="1"/>
      <c r="L165" s="1"/>
      <c r="M165" s="1"/>
      <c r="N165" s="1"/>
    </row>
    <row r="166" ht="15.75" customHeight="1">
      <c r="A166" s="1"/>
      <c r="B166" s="1"/>
      <c r="C166" s="1"/>
      <c r="D166" s="1"/>
      <c r="E166" s="1"/>
      <c r="F166" s="1"/>
      <c r="G166" s="1"/>
      <c r="H166" s="1"/>
      <c r="I166" s="1"/>
      <c r="J166" s="1"/>
      <c r="K166" s="1"/>
      <c r="L166" s="1"/>
      <c r="M166" s="1"/>
      <c r="N166" s="1"/>
    </row>
    <row r="167" ht="15.75" customHeight="1">
      <c r="A167" s="1"/>
      <c r="B167" s="1"/>
      <c r="C167" s="1"/>
      <c r="D167" s="1"/>
      <c r="E167" s="1"/>
      <c r="F167" s="1"/>
      <c r="G167" s="1"/>
      <c r="H167" s="1"/>
      <c r="I167" s="1"/>
      <c r="J167" s="1"/>
      <c r="K167" s="1"/>
      <c r="L167" s="1"/>
      <c r="M167" s="1"/>
      <c r="N167" s="1"/>
    </row>
    <row r="168" ht="15.75" customHeight="1">
      <c r="A168" s="1"/>
      <c r="B168" s="1"/>
      <c r="C168" s="1"/>
      <c r="D168" s="1"/>
      <c r="E168" s="1"/>
      <c r="F168" s="1"/>
      <c r="G168" s="1"/>
      <c r="H168" s="1"/>
      <c r="I168" s="1"/>
      <c r="J168" s="1"/>
      <c r="K168" s="1"/>
      <c r="L168" s="1"/>
      <c r="M168" s="1"/>
      <c r="N168" s="1"/>
    </row>
    <row r="169" ht="15.75" customHeight="1">
      <c r="A169" s="1"/>
      <c r="B169" s="1"/>
      <c r="C169" s="1"/>
      <c r="D169" s="1"/>
      <c r="E169" s="1"/>
      <c r="F169" s="1"/>
      <c r="G169" s="1"/>
      <c r="H169" s="1"/>
      <c r="I169" s="1"/>
      <c r="J169" s="1"/>
      <c r="K169" s="1"/>
      <c r="L169" s="1"/>
      <c r="M169" s="1"/>
      <c r="N169" s="1"/>
    </row>
    <row r="170" ht="15.75" customHeight="1">
      <c r="A170" s="1"/>
      <c r="B170" s="1"/>
      <c r="C170" s="1"/>
      <c r="D170" s="1"/>
      <c r="E170" s="1"/>
      <c r="F170" s="1"/>
      <c r="G170" s="1"/>
      <c r="H170" s="1"/>
      <c r="I170" s="1"/>
      <c r="J170" s="1"/>
      <c r="K170" s="1"/>
      <c r="L170" s="1"/>
      <c r="M170" s="1"/>
      <c r="N170" s="1"/>
    </row>
    <row r="171" ht="15.75" customHeight="1">
      <c r="A171" s="1"/>
      <c r="B171" s="1"/>
      <c r="C171" s="1"/>
      <c r="D171" s="1"/>
      <c r="E171" s="1"/>
      <c r="F171" s="1"/>
      <c r="G171" s="1"/>
      <c r="H171" s="1"/>
      <c r="I171" s="1"/>
      <c r="J171" s="1"/>
      <c r="K171" s="1"/>
      <c r="L171" s="1"/>
      <c r="M171" s="1"/>
      <c r="N171" s="1"/>
    </row>
    <row r="172" ht="15.75" customHeight="1">
      <c r="A172" s="1"/>
      <c r="B172" s="1"/>
      <c r="C172" s="1"/>
      <c r="D172" s="1"/>
      <c r="E172" s="1"/>
      <c r="F172" s="1"/>
      <c r="G172" s="1"/>
      <c r="H172" s="1"/>
      <c r="I172" s="1"/>
      <c r="J172" s="1"/>
      <c r="K172" s="1"/>
      <c r="L172" s="1"/>
      <c r="M172" s="1"/>
      <c r="N172" s="1"/>
    </row>
    <row r="173" ht="15.75" customHeight="1">
      <c r="A173" s="1"/>
      <c r="B173" s="1"/>
      <c r="C173" s="1"/>
      <c r="D173" s="1"/>
      <c r="E173" s="1"/>
      <c r="F173" s="1"/>
      <c r="G173" s="1"/>
      <c r="H173" s="1"/>
      <c r="I173" s="1"/>
      <c r="J173" s="1"/>
      <c r="K173" s="1"/>
      <c r="L173" s="1"/>
      <c r="M173" s="1"/>
      <c r="N173" s="1"/>
    </row>
    <row r="174" ht="15.75" customHeight="1">
      <c r="A174" s="1"/>
      <c r="B174" s="1"/>
      <c r="C174" s="1"/>
      <c r="D174" s="1"/>
      <c r="E174" s="1"/>
      <c r="F174" s="1"/>
      <c r="G174" s="1"/>
      <c r="H174" s="1"/>
      <c r="I174" s="1"/>
      <c r="J174" s="1"/>
      <c r="K174" s="1"/>
      <c r="L174" s="1"/>
      <c r="M174" s="1"/>
      <c r="N174" s="1"/>
    </row>
    <row r="175" ht="15.75" customHeight="1">
      <c r="A175" s="1"/>
      <c r="B175" s="1"/>
      <c r="C175" s="1"/>
      <c r="D175" s="1"/>
      <c r="E175" s="1"/>
      <c r="F175" s="1"/>
      <c r="G175" s="1"/>
      <c r="H175" s="1"/>
      <c r="I175" s="1"/>
      <c r="J175" s="1"/>
      <c r="K175" s="1"/>
      <c r="L175" s="1"/>
      <c r="M175" s="1"/>
      <c r="N175" s="1"/>
    </row>
    <row r="176" ht="15.75" customHeight="1">
      <c r="A176" s="1"/>
      <c r="B176" s="1"/>
      <c r="C176" s="1"/>
      <c r="D176" s="1"/>
      <c r="E176" s="1"/>
      <c r="F176" s="1"/>
      <c r="G176" s="1"/>
      <c r="H176" s="1"/>
      <c r="I176" s="1"/>
      <c r="J176" s="1"/>
      <c r="K176" s="1"/>
      <c r="L176" s="1"/>
      <c r="M176" s="1"/>
      <c r="N176" s="1"/>
    </row>
    <row r="177" ht="15.75" customHeight="1">
      <c r="A177" s="1"/>
      <c r="B177" s="1"/>
      <c r="C177" s="1"/>
      <c r="D177" s="1"/>
      <c r="E177" s="1"/>
      <c r="F177" s="1"/>
      <c r="G177" s="1"/>
      <c r="H177" s="1"/>
      <c r="I177" s="1"/>
      <c r="J177" s="1"/>
      <c r="K177" s="1"/>
      <c r="L177" s="1"/>
      <c r="M177" s="1"/>
      <c r="N177" s="1"/>
    </row>
    <row r="178" ht="15.75" customHeight="1">
      <c r="A178" s="1"/>
      <c r="B178" s="1"/>
      <c r="C178" s="1"/>
      <c r="D178" s="1"/>
      <c r="E178" s="1"/>
      <c r="F178" s="1"/>
      <c r="G178" s="1"/>
      <c r="H178" s="1"/>
      <c r="I178" s="1"/>
      <c r="J178" s="1"/>
      <c r="K178" s="1"/>
      <c r="L178" s="1"/>
      <c r="M178" s="1"/>
      <c r="N178" s="1"/>
    </row>
    <row r="179" ht="15.75" customHeight="1">
      <c r="A179" s="1"/>
      <c r="B179" s="1"/>
      <c r="C179" s="1"/>
      <c r="D179" s="1"/>
      <c r="E179" s="1"/>
      <c r="F179" s="1"/>
      <c r="G179" s="1"/>
      <c r="H179" s="1"/>
      <c r="I179" s="1"/>
      <c r="J179" s="1"/>
      <c r="K179" s="1"/>
      <c r="L179" s="1"/>
      <c r="M179" s="1"/>
      <c r="N179" s="1"/>
    </row>
    <row r="180" ht="15.75" customHeight="1">
      <c r="A180" s="1"/>
      <c r="B180" s="1"/>
      <c r="C180" s="1"/>
      <c r="D180" s="1"/>
      <c r="E180" s="1"/>
      <c r="F180" s="1"/>
      <c r="G180" s="1"/>
      <c r="H180" s="1"/>
      <c r="I180" s="1"/>
      <c r="J180" s="1"/>
      <c r="K180" s="1"/>
      <c r="L180" s="1"/>
      <c r="M180" s="1"/>
      <c r="N180" s="1"/>
    </row>
    <row r="181" ht="15.75" customHeight="1">
      <c r="A181" s="1"/>
      <c r="B181" s="1"/>
      <c r="C181" s="1"/>
      <c r="D181" s="1"/>
      <c r="E181" s="1"/>
      <c r="F181" s="1"/>
      <c r="G181" s="1"/>
      <c r="H181" s="1"/>
      <c r="I181" s="1"/>
      <c r="J181" s="1"/>
      <c r="K181" s="1"/>
      <c r="L181" s="1"/>
      <c r="M181" s="1"/>
      <c r="N181" s="1"/>
    </row>
    <row r="182" ht="15.75" customHeight="1">
      <c r="A182" s="1"/>
      <c r="B182" s="1"/>
      <c r="C182" s="1"/>
      <c r="D182" s="1"/>
      <c r="E182" s="1"/>
      <c r="F182" s="1"/>
      <c r="G182" s="1"/>
      <c r="H182" s="1"/>
      <c r="I182" s="1"/>
      <c r="J182" s="1"/>
      <c r="K182" s="1"/>
      <c r="L182" s="1"/>
      <c r="M182" s="1"/>
      <c r="N182" s="1"/>
    </row>
    <row r="183" ht="15.75" customHeight="1">
      <c r="A183" s="1"/>
      <c r="B183" s="1"/>
      <c r="C183" s="1"/>
      <c r="D183" s="1"/>
      <c r="E183" s="1"/>
      <c r="F183" s="1"/>
      <c r="G183" s="1"/>
      <c r="H183" s="1"/>
      <c r="I183" s="1"/>
      <c r="J183" s="1"/>
      <c r="K183" s="1"/>
      <c r="L183" s="1"/>
      <c r="M183" s="1"/>
      <c r="N183" s="1"/>
    </row>
    <row r="184" ht="15.75" customHeight="1">
      <c r="A184" s="1"/>
      <c r="B184" s="1"/>
      <c r="C184" s="1"/>
      <c r="D184" s="1"/>
      <c r="E184" s="1"/>
      <c r="F184" s="1"/>
      <c r="G184" s="1"/>
      <c r="H184" s="1"/>
      <c r="I184" s="1"/>
      <c r="J184" s="1"/>
      <c r="K184" s="1"/>
      <c r="L184" s="1"/>
      <c r="M184" s="1"/>
      <c r="N184" s="1"/>
    </row>
    <row r="185" ht="15.75" customHeight="1">
      <c r="A185" s="1"/>
      <c r="B185" s="1"/>
      <c r="C185" s="1"/>
      <c r="D185" s="1"/>
      <c r="E185" s="1"/>
      <c r="F185" s="1"/>
      <c r="G185" s="1"/>
      <c r="H185" s="1"/>
      <c r="I185" s="1"/>
      <c r="J185" s="1"/>
      <c r="K185" s="1"/>
      <c r="L185" s="1"/>
      <c r="M185" s="1"/>
      <c r="N185" s="1"/>
    </row>
    <row r="186" ht="15.75" customHeight="1">
      <c r="A186" s="1"/>
      <c r="B186" s="1"/>
      <c r="C186" s="1"/>
      <c r="D186" s="1"/>
      <c r="E186" s="1"/>
      <c r="F186" s="1"/>
      <c r="G186" s="1"/>
      <c r="H186" s="1"/>
      <c r="I186" s="1"/>
      <c r="J186" s="1"/>
      <c r="K186" s="1"/>
      <c r="L186" s="1"/>
      <c r="M186" s="1"/>
      <c r="N186" s="1"/>
    </row>
    <row r="187" ht="15.75" customHeight="1">
      <c r="A187" s="1"/>
      <c r="B187" s="1"/>
      <c r="C187" s="1"/>
      <c r="D187" s="1"/>
      <c r="E187" s="1"/>
      <c r="F187" s="1"/>
      <c r="G187" s="1"/>
      <c r="H187" s="1"/>
      <c r="I187" s="1"/>
      <c r="J187" s="1"/>
      <c r="K187" s="1"/>
      <c r="L187" s="1"/>
      <c r="M187" s="1"/>
      <c r="N187" s="1"/>
    </row>
    <row r="188" ht="15.75" customHeight="1">
      <c r="A188" s="1"/>
      <c r="B188" s="1"/>
      <c r="C188" s="1"/>
      <c r="D188" s="1"/>
      <c r="E188" s="1"/>
      <c r="F188" s="1"/>
      <c r="G188" s="1"/>
      <c r="H188" s="1"/>
      <c r="I188" s="1"/>
      <c r="J188" s="1"/>
      <c r="K188" s="1"/>
      <c r="L188" s="1"/>
      <c r="M188" s="1"/>
      <c r="N188" s="1"/>
    </row>
    <row r="189" ht="15.75" customHeight="1">
      <c r="A189" s="1"/>
      <c r="B189" s="1"/>
      <c r="C189" s="1"/>
      <c r="D189" s="1"/>
      <c r="E189" s="1"/>
      <c r="F189" s="1"/>
      <c r="G189" s="1"/>
      <c r="H189" s="1"/>
      <c r="I189" s="1"/>
      <c r="J189" s="1"/>
      <c r="K189" s="1"/>
      <c r="L189" s="1"/>
      <c r="M189" s="1"/>
      <c r="N189" s="1"/>
    </row>
    <row r="190" ht="15.75" customHeight="1">
      <c r="A190" s="1"/>
      <c r="B190" s="1"/>
      <c r="C190" s="1"/>
      <c r="D190" s="1"/>
      <c r="E190" s="1"/>
      <c r="F190" s="1"/>
      <c r="G190" s="1"/>
      <c r="H190" s="1"/>
      <c r="I190" s="1"/>
      <c r="J190" s="1"/>
      <c r="K190" s="1"/>
      <c r="L190" s="1"/>
      <c r="M190" s="1"/>
      <c r="N190" s="1"/>
    </row>
    <row r="191" ht="15.75" customHeight="1">
      <c r="A191" s="1"/>
      <c r="B191" s="1"/>
      <c r="C191" s="1"/>
      <c r="D191" s="1"/>
      <c r="E191" s="1"/>
      <c r="F191" s="1"/>
      <c r="G191" s="1"/>
      <c r="H191" s="1"/>
      <c r="I191" s="1"/>
      <c r="J191" s="1"/>
      <c r="K191" s="1"/>
      <c r="L191" s="1"/>
      <c r="M191" s="1"/>
      <c r="N191" s="1"/>
    </row>
    <row r="192" ht="15.75" customHeight="1">
      <c r="A192" s="1"/>
      <c r="B192" s="1"/>
      <c r="C192" s="1"/>
      <c r="D192" s="1"/>
      <c r="E192" s="1"/>
      <c r="F192" s="1"/>
      <c r="G192" s="1"/>
      <c r="H192" s="1"/>
      <c r="I192" s="1"/>
      <c r="J192" s="1"/>
      <c r="K192" s="1"/>
      <c r="L192" s="1"/>
      <c r="M192" s="1"/>
      <c r="N192" s="1"/>
    </row>
    <row r="193" ht="15.75" customHeight="1">
      <c r="A193" s="1"/>
      <c r="B193" s="1"/>
      <c r="C193" s="1"/>
      <c r="D193" s="1"/>
      <c r="E193" s="1"/>
      <c r="F193" s="1"/>
      <c r="G193" s="1"/>
      <c r="H193" s="1"/>
      <c r="I193" s="1"/>
      <c r="J193" s="1"/>
      <c r="K193" s="1"/>
      <c r="L193" s="1"/>
      <c r="M193" s="1"/>
      <c r="N193" s="1"/>
    </row>
    <row r="194" ht="15.75" customHeight="1">
      <c r="A194" s="1"/>
      <c r="B194" s="1"/>
      <c r="C194" s="1"/>
      <c r="D194" s="1"/>
      <c r="E194" s="1"/>
      <c r="F194" s="1"/>
      <c r="G194" s="1"/>
      <c r="H194" s="1"/>
      <c r="I194" s="1"/>
      <c r="J194" s="1"/>
      <c r="K194" s="1"/>
      <c r="L194" s="1"/>
      <c r="M194" s="1"/>
      <c r="N194" s="1"/>
    </row>
    <row r="195" ht="15.75" customHeight="1">
      <c r="A195" s="1"/>
      <c r="B195" s="1"/>
      <c r="C195" s="1"/>
      <c r="D195" s="1"/>
      <c r="E195" s="1"/>
      <c r="F195" s="1"/>
      <c r="G195" s="1"/>
      <c r="H195" s="1"/>
      <c r="I195" s="1"/>
      <c r="J195" s="1"/>
      <c r="K195" s="1"/>
      <c r="L195" s="1"/>
      <c r="M195" s="1"/>
      <c r="N195" s="1"/>
    </row>
    <row r="196" ht="15.75" customHeight="1">
      <c r="A196" s="1"/>
      <c r="B196" s="1"/>
      <c r="C196" s="1"/>
      <c r="D196" s="1"/>
      <c r="E196" s="1"/>
      <c r="F196" s="1"/>
      <c r="G196" s="1"/>
      <c r="H196" s="1"/>
      <c r="I196" s="1"/>
      <c r="J196" s="1"/>
      <c r="K196" s="1"/>
      <c r="L196" s="1"/>
      <c r="M196" s="1"/>
      <c r="N196" s="1"/>
    </row>
    <row r="197" ht="15.75" customHeight="1">
      <c r="A197" s="1"/>
      <c r="B197" s="1"/>
      <c r="C197" s="1"/>
      <c r="D197" s="1"/>
      <c r="E197" s="1"/>
      <c r="F197" s="1"/>
      <c r="G197" s="1"/>
      <c r="H197" s="1"/>
      <c r="I197" s="1"/>
      <c r="J197" s="1"/>
      <c r="K197" s="1"/>
      <c r="L197" s="1"/>
      <c r="M197" s="1"/>
      <c r="N197" s="1"/>
    </row>
    <row r="198" ht="15.75" customHeight="1">
      <c r="A198" s="1"/>
      <c r="B198" s="1"/>
      <c r="C198" s="1"/>
      <c r="D198" s="1"/>
      <c r="E198" s="1"/>
      <c r="F198" s="1"/>
      <c r="G198" s="1"/>
      <c r="H198" s="1"/>
      <c r="I198" s="1"/>
      <c r="J198" s="1"/>
      <c r="K198" s="1"/>
      <c r="L198" s="1"/>
      <c r="M198" s="1"/>
      <c r="N198" s="1"/>
    </row>
    <row r="199" ht="15.75" customHeight="1">
      <c r="A199" s="1"/>
      <c r="B199" s="1"/>
      <c r="C199" s="1"/>
      <c r="D199" s="1"/>
      <c r="E199" s="1"/>
      <c r="F199" s="1"/>
      <c r="G199" s="1"/>
      <c r="H199" s="1"/>
      <c r="I199" s="1"/>
      <c r="J199" s="1"/>
      <c r="K199" s="1"/>
      <c r="L199" s="1"/>
      <c r="M199" s="1"/>
      <c r="N199" s="1"/>
    </row>
    <row r="200" ht="15.75" customHeight="1">
      <c r="A200" s="1"/>
      <c r="B200" s="1"/>
      <c r="C200" s="1"/>
      <c r="D200" s="1"/>
      <c r="E200" s="1"/>
      <c r="F200" s="1"/>
      <c r="G200" s="1"/>
      <c r="H200" s="1"/>
      <c r="I200" s="1"/>
      <c r="J200" s="1"/>
      <c r="K200" s="1"/>
      <c r="L200" s="1"/>
      <c r="M200" s="1"/>
      <c r="N200" s="1"/>
    </row>
    <row r="201" ht="15.75" customHeight="1">
      <c r="A201" s="1"/>
      <c r="B201" s="1"/>
      <c r="C201" s="1"/>
      <c r="D201" s="1"/>
      <c r="E201" s="1"/>
      <c r="F201" s="1"/>
      <c r="G201" s="1"/>
      <c r="H201" s="1"/>
      <c r="I201" s="1"/>
      <c r="J201" s="1"/>
      <c r="K201" s="1"/>
      <c r="L201" s="1"/>
      <c r="M201" s="1"/>
      <c r="N201" s="1"/>
    </row>
    <row r="202" ht="15.75" customHeight="1">
      <c r="A202" s="1"/>
      <c r="B202" s="1"/>
      <c r="C202" s="1"/>
      <c r="D202" s="1"/>
      <c r="E202" s="1"/>
      <c r="F202" s="1"/>
      <c r="G202" s="1"/>
      <c r="H202" s="1"/>
      <c r="I202" s="1"/>
      <c r="J202" s="1"/>
      <c r="K202" s="1"/>
      <c r="L202" s="1"/>
      <c r="M202" s="1"/>
      <c r="N202" s="1"/>
    </row>
    <row r="203" ht="15.75" customHeight="1">
      <c r="A203" s="1"/>
      <c r="B203" s="1"/>
      <c r="C203" s="1"/>
      <c r="D203" s="1"/>
      <c r="E203" s="1"/>
      <c r="F203" s="1"/>
      <c r="G203" s="1"/>
      <c r="H203" s="1"/>
      <c r="I203" s="1"/>
      <c r="J203" s="1"/>
      <c r="K203" s="1"/>
      <c r="L203" s="1"/>
      <c r="M203" s="1"/>
      <c r="N203" s="1"/>
    </row>
    <row r="204" ht="15.75" customHeight="1">
      <c r="A204" s="1"/>
      <c r="B204" s="1"/>
      <c r="C204" s="1"/>
      <c r="D204" s="1"/>
      <c r="E204" s="1"/>
      <c r="F204" s="1"/>
      <c r="G204" s="1"/>
      <c r="H204" s="1"/>
      <c r="I204" s="1"/>
      <c r="J204" s="1"/>
      <c r="K204" s="1"/>
      <c r="L204" s="1"/>
      <c r="M204" s="1"/>
      <c r="N204" s="1"/>
    </row>
    <row r="205" ht="15.75" customHeight="1">
      <c r="A205" s="1"/>
      <c r="B205" s="1"/>
      <c r="C205" s="1"/>
      <c r="D205" s="1"/>
      <c r="E205" s="1"/>
      <c r="F205" s="1"/>
      <c r="G205" s="1"/>
      <c r="H205" s="1"/>
      <c r="I205" s="1"/>
      <c r="J205" s="1"/>
      <c r="K205" s="1"/>
      <c r="L205" s="1"/>
      <c r="M205" s="1"/>
      <c r="N205" s="1"/>
    </row>
    <row r="206" ht="15.75" customHeight="1">
      <c r="A206" s="1"/>
      <c r="B206" s="1"/>
      <c r="C206" s="1"/>
      <c r="D206" s="1"/>
      <c r="E206" s="1"/>
      <c r="F206" s="1"/>
      <c r="G206" s="1"/>
      <c r="H206" s="1"/>
      <c r="I206" s="1"/>
      <c r="J206" s="1"/>
      <c r="K206" s="1"/>
      <c r="L206" s="1"/>
      <c r="M206" s="1"/>
      <c r="N206" s="1"/>
    </row>
    <row r="207" ht="15.75" customHeight="1">
      <c r="A207" s="1"/>
      <c r="B207" s="1"/>
      <c r="C207" s="1"/>
      <c r="D207" s="1"/>
      <c r="E207" s="1"/>
      <c r="F207" s="1"/>
      <c r="G207" s="1"/>
      <c r="H207" s="1"/>
      <c r="I207" s="1"/>
      <c r="J207" s="1"/>
      <c r="K207" s="1"/>
      <c r="L207" s="1"/>
      <c r="M207" s="1"/>
      <c r="N207" s="1"/>
    </row>
    <row r="208" ht="15.75" customHeight="1">
      <c r="A208" s="1"/>
      <c r="B208" s="1"/>
      <c r="C208" s="1"/>
      <c r="D208" s="1"/>
      <c r="E208" s="1"/>
      <c r="F208" s="1"/>
      <c r="G208" s="1"/>
      <c r="H208" s="1"/>
      <c r="I208" s="1"/>
      <c r="J208" s="1"/>
      <c r="K208" s="1"/>
      <c r="L208" s="1"/>
      <c r="M208" s="1"/>
      <c r="N208" s="1"/>
    </row>
    <row r="209" ht="15.75" customHeight="1">
      <c r="A209" s="1"/>
      <c r="B209" s="1"/>
      <c r="C209" s="1"/>
      <c r="D209" s="1"/>
      <c r="E209" s="1"/>
      <c r="F209" s="1"/>
      <c r="G209" s="1"/>
      <c r="H209" s="1"/>
      <c r="I209" s="1"/>
      <c r="J209" s="1"/>
      <c r="K209" s="1"/>
      <c r="L209" s="1"/>
      <c r="M209" s="1"/>
      <c r="N209" s="1"/>
    </row>
    <row r="210" ht="15.75" customHeight="1">
      <c r="A210" s="1"/>
      <c r="B210" s="1"/>
      <c r="C210" s="1"/>
      <c r="D210" s="1"/>
      <c r="E210" s="1"/>
      <c r="F210" s="1"/>
      <c r="G210" s="1"/>
      <c r="H210" s="1"/>
      <c r="I210" s="1"/>
      <c r="J210" s="1"/>
      <c r="K210" s="1"/>
      <c r="L210" s="1"/>
      <c r="M210" s="1"/>
      <c r="N210" s="1"/>
    </row>
    <row r="211" ht="15.75" customHeight="1">
      <c r="A211" s="1"/>
      <c r="B211" s="1"/>
      <c r="C211" s="1"/>
      <c r="D211" s="1"/>
      <c r="E211" s="1"/>
      <c r="F211" s="1"/>
      <c r="G211" s="1"/>
      <c r="H211" s="1"/>
      <c r="I211" s="1"/>
      <c r="J211" s="1"/>
      <c r="K211" s="1"/>
      <c r="L211" s="1"/>
      <c r="M211" s="1"/>
      <c r="N211" s="1"/>
    </row>
    <row r="212" ht="15.75" customHeight="1">
      <c r="A212" s="1"/>
      <c r="B212" s="1"/>
      <c r="C212" s="1"/>
      <c r="D212" s="1"/>
      <c r="E212" s="1"/>
      <c r="F212" s="1"/>
      <c r="G212" s="1"/>
      <c r="H212" s="1"/>
      <c r="I212" s="1"/>
      <c r="J212" s="1"/>
      <c r="K212" s="1"/>
      <c r="L212" s="1"/>
      <c r="M212" s="1"/>
      <c r="N212" s="1"/>
    </row>
    <row r="213" ht="15.75" customHeight="1">
      <c r="A213" s="1"/>
      <c r="B213" s="1"/>
      <c r="C213" s="1"/>
      <c r="D213" s="1"/>
      <c r="E213" s="1"/>
      <c r="F213" s="1"/>
      <c r="G213" s="1"/>
      <c r="H213" s="1"/>
      <c r="I213" s="1"/>
      <c r="J213" s="1"/>
      <c r="K213" s="1"/>
      <c r="L213" s="1"/>
      <c r="M213" s="1"/>
      <c r="N213" s="1"/>
    </row>
    <row r="214" ht="15.75" customHeight="1">
      <c r="A214" s="1"/>
      <c r="B214" s="1"/>
      <c r="C214" s="1"/>
      <c r="D214" s="1"/>
      <c r="E214" s="1"/>
      <c r="F214" s="1"/>
      <c r="G214" s="1"/>
      <c r="H214" s="1"/>
      <c r="I214" s="1"/>
      <c r="J214" s="1"/>
      <c r="K214" s="1"/>
      <c r="L214" s="1"/>
      <c r="M214" s="1"/>
      <c r="N214" s="1"/>
    </row>
    <row r="215" ht="15.75" customHeight="1">
      <c r="A215" s="1"/>
      <c r="B215" s="1"/>
      <c r="C215" s="1"/>
      <c r="D215" s="1"/>
      <c r="E215" s="1"/>
      <c r="F215" s="1"/>
      <c r="G215" s="1"/>
      <c r="H215" s="1"/>
      <c r="I215" s="1"/>
      <c r="J215" s="1"/>
      <c r="K215" s="1"/>
      <c r="L215" s="1"/>
      <c r="M215" s="1"/>
      <c r="N215" s="1"/>
    </row>
    <row r="216" ht="15.75" customHeight="1">
      <c r="A216" s="1"/>
      <c r="B216" s="1"/>
      <c r="C216" s="1"/>
      <c r="D216" s="1"/>
      <c r="E216" s="1"/>
      <c r="F216" s="1"/>
      <c r="G216" s="1"/>
      <c r="H216" s="1"/>
      <c r="I216" s="1"/>
      <c r="J216" s="1"/>
      <c r="K216" s="1"/>
      <c r="L216" s="1"/>
      <c r="M216" s="1"/>
      <c r="N216" s="1"/>
    </row>
    <row r="217" ht="15.75" customHeight="1">
      <c r="A217" s="1"/>
      <c r="B217" s="1"/>
      <c r="C217" s="1"/>
      <c r="D217" s="1"/>
      <c r="E217" s="1"/>
      <c r="F217" s="1"/>
      <c r="G217" s="1"/>
      <c r="H217" s="1"/>
      <c r="I217" s="1"/>
      <c r="J217" s="1"/>
      <c r="K217" s="1"/>
      <c r="L217" s="1"/>
      <c r="M217" s="1"/>
      <c r="N217" s="1"/>
    </row>
    <row r="218" ht="15.75" customHeight="1">
      <c r="A218" s="1"/>
      <c r="B218" s="1"/>
      <c r="C218" s="1"/>
      <c r="D218" s="1"/>
      <c r="E218" s="1"/>
      <c r="F218" s="1"/>
      <c r="G218" s="1"/>
      <c r="H218" s="1"/>
      <c r="I218" s="1"/>
      <c r="J218" s="1"/>
      <c r="K218" s="1"/>
      <c r="L218" s="1"/>
      <c r="M218" s="1"/>
      <c r="N218" s="1"/>
    </row>
    <row r="219" ht="15.75" customHeight="1">
      <c r="A219" s="1"/>
      <c r="B219" s="1"/>
      <c r="C219" s="1"/>
      <c r="D219" s="1"/>
      <c r="E219" s="1"/>
      <c r="F219" s="1"/>
      <c r="G219" s="1"/>
      <c r="H219" s="1"/>
      <c r="I219" s="1"/>
      <c r="J219" s="1"/>
      <c r="K219" s="1"/>
      <c r="L219" s="1"/>
      <c r="M219" s="1"/>
      <c r="N219" s="1"/>
    </row>
    <row r="220" ht="15.75" customHeight="1">
      <c r="A220" s="1"/>
      <c r="B220" s="1"/>
      <c r="C220" s="1"/>
      <c r="D220" s="1"/>
      <c r="E220" s="1"/>
      <c r="F220" s="1"/>
      <c r="G220" s="1"/>
      <c r="H220" s="1"/>
      <c r="I220" s="1"/>
      <c r="J220" s="1"/>
      <c r="K220" s="1"/>
      <c r="L220" s="1"/>
      <c r="M220" s="1"/>
      <c r="N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9">
    <mergeCell ref="B1:I1"/>
    <mergeCell ref="M1:N1"/>
    <mergeCell ref="B2:I2"/>
    <mergeCell ref="M3:N3"/>
    <mergeCell ref="B4:C4"/>
    <mergeCell ref="E4:F4"/>
    <mergeCell ref="H4:I4"/>
    <mergeCell ref="M9:N9"/>
    <mergeCell ref="M12:M14"/>
    <mergeCell ref="N12:N14"/>
    <mergeCell ref="E12:F12"/>
    <mergeCell ref="E13:F13"/>
    <mergeCell ref="E14:F14"/>
    <mergeCell ref="E15:F15"/>
    <mergeCell ref="E16:F16"/>
    <mergeCell ref="B13:C13"/>
    <mergeCell ref="B14:C14"/>
    <mergeCell ref="B15:C15"/>
    <mergeCell ref="B16:C16"/>
    <mergeCell ref="H14:I14"/>
    <mergeCell ref="H15:I15"/>
    <mergeCell ref="H16:I16"/>
    <mergeCell ref="B10:I10"/>
    <mergeCell ref="B11:C11"/>
    <mergeCell ref="E11:F11"/>
    <mergeCell ref="H11:I11"/>
    <mergeCell ref="B12:C12"/>
    <mergeCell ref="H12:I12"/>
    <mergeCell ref="H13:I13"/>
  </mergeCells>
  <conditionalFormatting sqref="N11">
    <cfRule type="expression" dxfId="1" priority="1">
      <formula>OR($N$11="A",$N$11="B")</formula>
    </cfRule>
  </conditionalFormatting>
  <conditionalFormatting sqref="N11">
    <cfRule type="expression" dxfId="9" priority="2">
      <formula>$N$11="C"</formula>
    </cfRule>
  </conditionalFormatting>
  <conditionalFormatting sqref="N11">
    <cfRule type="expression" dxfId="2" priority="3">
      <formula>OR($N$11="D",$N$11="F")</formula>
    </cfRule>
  </conditionalFormatting>
  <conditionalFormatting sqref="B13">
    <cfRule type="expression" dxfId="10" priority="4">
      <formula>B13="Positive"</formula>
    </cfRule>
  </conditionalFormatting>
  <conditionalFormatting sqref="E13">
    <cfRule type="expression" dxfId="10" priority="5">
      <formula>E13="Surplus"</formula>
    </cfRule>
  </conditionalFormatting>
  <conditionalFormatting sqref="B16">
    <cfRule type="expression" dxfId="10" priority="6">
      <formula>B16="On target"</formula>
    </cfRule>
  </conditionalFormatting>
  <conditionalFormatting sqref="E16">
    <cfRule type="expression" dxfId="10" priority="7">
      <formula>E16="On target"</formula>
    </cfRule>
  </conditionalFormatting>
  <conditionalFormatting sqref="H16">
    <cfRule type="expression" dxfId="10" priority="8">
      <formula>H16="Fully funded"</formula>
    </cfRule>
  </conditionalFormatting>
  <conditionalFormatting sqref="H13">
    <cfRule type="expression" dxfId="10" priority="9">
      <formula>$H$13="Strong"</formula>
    </cfRule>
  </conditionalFormatting>
  <conditionalFormatting sqref="H13">
    <cfRule type="expression" dxfId="11" priority="10">
      <formula>$H$13="Needs work"</formula>
    </cfRule>
  </conditionalFormatting>
  <conditionalFormatting sqref="E12:F12">
    <cfRule type="cellIs" dxfId="6" priority="11" operator="greaterThanOrEqual">
      <formula>0</formula>
    </cfRule>
  </conditionalFormatting>
  <conditionalFormatting sqref="E12:F12">
    <cfRule type="cellIs" dxfId="12" priority="12" operator="lessThan">
      <formula>0</formula>
    </cfRule>
  </conditionalFormatting>
  <conditionalFormatting sqref="B12:C12">
    <cfRule type="cellIs" dxfId="6" priority="13" operator="greaterThanOrEqual">
      <formula>0</formula>
    </cfRule>
  </conditionalFormatting>
  <conditionalFormatting sqref="B12:C12">
    <cfRule type="cellIs" dxfId="7" priority="14" operator="lessThan">
      <formula>0</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6EFCE"/>
    <pageSetUpPr/>
  </sheetPr>
  <sheetViews>
    <sheetView showGridLines="0" workbookViewId="0"/>
  </sheetViews>
  <sheetFormatPr customHeight="1" defaultColWidth="14.43" defaultRowHeight="15.0"/>
  <cols>
    <col customWidth="1" min="1" max="1" width="6.86"/>
    <col customWidth="1" min="2" max="2" width="18.86"/>
    <col customWidth="1" min="3" max="3" width="25.0"/>
    <col customWidth="1" min="4" max="4" width="27.29"/>
    <col customWidth="1" min="5" max="5" width="23.0"/>
    <col customWidth="1" min="6" max="6" width="20.0"/>
    <col customWidth="1" min="7" max="7" width="19.57"/>
    <col customWidth="1" min="8" max="8" width="24.14"/>
    <col customWidth="1" min="9" max="9" width="14.0"/>
  </cols>
  <sheetData>
    <row r="1" ht="19.5" customHeight="1">
      <c r="A1" s="1"/>
      <c r="B1" s="2" t="s">
        <v>3</v>
      </c>
      <c r="J1" s="1"/>
      <c r="K1" s="1"/>
    </row>
    <row r="2" ht="15.0" customHeight="1">
      <c r="A2" s="1"/>
      <c r="B2" s="1"/>
      <c r="C2" s="1"/>
      <c r="D2" s="1"/>
      <c r="E2" s="1"/>
      <c r="F2" s="1"/>
      <c r="G2" s="1"/>
      <c r="H2" s="1"/>
      <c r="I2" s="1"/>
      <c r="J2" s="1"/>
      <c r="K2" s="1"/>
    </row>
    <row r="3" ht="15.0" customHeight="1">
      <c r="A3" s="1"/>
      <c r="B3" s="1"/>
      <c r="C3" s="1"/>
      <c r="D3" s="1"/>
      <c r="E3" s="1"/>
      <c r="F3" s="1"/>
      <c r="G3" s="1"/>
      <c r="H3" s="1"/>
      <c r="I3" s="1"/>
      <c r="J3" s="1"/>
      <c r="K3" s="1"/>
    </row>
    <row r="4" ht="22.5" customHeight="1">
      <c r="A4" s="1"/>
      <c r="B4" s="8" t="s">
        <v>9</v>
      </c>
      <c r="C4" s="8" t="s">
        <v>11</v>
      </c>
      <c r="D4" s="8" t="s">
        <v>12</v>
      </c>
      <c r="E4" s="8" t="s">
        <v>13</v>
      </c>
      <c r="F4" s="8" t="s">
        <v>15</v>
      </c>
      <c r="G4" s="1"/>
      <c r="H4" s="10" t="s">
        <v>17</v>
      </c>
      <c r="J4" s="1"/>
      <c r="K4" s="1"/>
    </row>
    <row r="5" ht="15.0" customHeight="1">
      <c r="A5" s="1"/>
      <c r="B5" s="16" t="s">
        <v>25</v>
      </c>
      <c r="C5" s="16" t="s">
        <v>28</v>
      </c>
      <c r="D5" s="17">
        <v>7000.0</v>
      </c>
      <c r="E5" s="16" t="s">
        <v>31</v>
      </c>
      <c r="F5" s="18"/>
      <c r="G5" s="1"/>
      <c r="H5" s="20" t="s">
        <v>32</v>
      </c>
      <c r="I5" s="26">
        <f>SUMIF($B$5:$B$39,"Income",$D$5:$D$39)</f>
        <v>7000</v>
      </c>
      <c r="J5" s="1"/>
      <c r="K5" s="1"/>
    </row>
    <row r="6" ht="15.0" customHeight="1">
      <c r="A6" s="1"/>
      <c r="B6" s="29" t="s">
        <v>37</v>
      </c>
      <c r="C6" s="29" t="s">
        <v>39</v>
      </c>
      <c r="D6" s="32">
        <v>1900.0</v>
      </c>
      <c r="E6" s="29" t="s">
        <v>31</v>
      </c>
      <c r="F6" s="34"/>
      <c r="G6" s="1"/>
      <c r="H6" s="20" t="s">
        <v>43</v>
      </c>
      <c r="I6" s="38">
        <f>SUMIF($B$5:$B$39,"Expense",$D$5:$D$39)</f>
        <v>3250</v>
      </c>
      <c r="J6" s="1"/>
      <c r="K6" s="1"/>
    </row>
    <row r="7" ht="15.0" customHeight="1">
      <c r="A7" s="1"/>
      <c r="B7" s="29" t="s">
        <v>37</v>
      </c>
      <c r="C7" s="29" t="s">
        <v>47</v>
      </c>
      <c r="D7" s="32">
        <v>300.0</v>
      </c>
      <c r="E7" s="29" t="s">
        <v>49</v>
      </c>
      <c r="F7" s="34" t="s">
        <v>51</v>
      </c>
      <c r="G7" s="1"/>
      <c r="H7" s="20" t="s">
        <v>52</v>
      </c>
      <c r="I7" s="42">
        <f>'Debt Payoff'!M7</f>
        <v>350</v>
      </c>
      <c r="J7" s="1"/>
      <c r="K7" s="1"/>
    </row>
    <row r="8" ht="15.0" customHeight="1">
      <c r="A8" s="1"/>
      <c r="B8" s="29" t="s">
        <v>37</v>
      </c>
      <c r="C8" s="29" t="s">
        <v>57</v>
      </c>
      <c r="D8" s="32">
        <v>300.0</v>
      </c>
      <c r="E8" s="29" t="s">
        <v>49</v>
      </c>
      <c r="F8" s="34"/>
      <c r="G8" s="1"/>
      <c r="H8" s="20" t="s">
        <v>58</v>
      </c>
      <c r="I8" s="46">
        <f>SUMIF($B$5:$B$39,"Taxes",$D$5:$D$39)</f>
        <v>1700</v>
      </c>
      <c r="J8" s="1"/>
      <c r="K8" s="1"/>
    </row>
    <row r="9" ht="15.0" customHeight="1">
      <c r="A9" s="1"/>
      <c r="B9" s="29" t="s">
        <v>37</v>
      </c>
      <c r="C9" s="29" t="s">
        <v>59</v>
      </c>
      <c r="D9" s="32">
        <v>400.0</v>
      </c>
      <c r="E9" s="29" t="s">
        <v>31</v>
      </c>
      <c r="F9" s="34" t="s">
        <v>60</v>
      </c>
      <c r="G9" s="1"/>
      <c r="H9" s="20" t="s">
        <v>61</v>
      </c>
      <c r="I9" s="51">
        <f>SUMIF($B$5:$B$39,"Investing",$D$5:$D$39)</f>
        <v>1600</v>
      </c>
      <c r="J9" s="1"/>
      <c r="K9" s="1"/>
    </row>
    <row r="10" ht="15.0" customHeight="1">
      <c r="A10" s="1"/>
      <c r="B10" s="29" t="s">
        <v>37</v>
      </c>
      <c r="C10" s="29" t="s">
        <v>64</v>
      </c>
      <c r="D10" s="32">
        <v>250.0</v>
      </c>
      <c r="E10" s="29" t="s">
        <v>31</v>
      </c>
      <c r="F10" s="34" t="s">
        <v>65</v>
      </c>
      <c r="G10" s="1"/>
      <c r="H10" s="20" t="s">
        <v>66</v>
      </c>
      <c r="I10" s="61">
        <f>SUMPRODUCT(($B$43:$B$67="Subscription")*($E$43:$E$67)*(($G$43:$G$67="Annual")/12+($G$43:$G$67&lt;&gt;"Annual")))</f>
        <v>20.33333333</v>
      </c>
      <c r="J10" s="1"/>
      <c r="K10" s="1"/>
    </row>
    <row r="11" ht="15.0" customHeight="1">
      <c r="A11" s="1"/>
      <c r="B11" s="29" t="s">
        <v>37</v>
      </c>
      <c r="C11" s="29" t="s">
        <v>74</v>
      </c>
      <c r="D11" s="32">
        <v>100.0</v>
      </c>
      <c r="E11" s="29" t="s">
        <v>49</v>
      </c>
      <c r="F11" s="34"/>
      <c r="G11" s="1"/>
      <c r="H11" s="20" t="s">
        <v>75</v>
      </c>
      <c r="I11" s="26">
        <f>I5-I6-I7-I8-I9-I10</f>
        <v>79.66666667</v>
      </c>
      <c r="J11" s="1"/>
      <c r="K11" s="1"/>
    </row>
    <row r="12" ht="15.0" customHeight="1">
      <c r="A12" s="1"/>
      <c r="B12" s="29" t="s">
        <v>77</v>
      </c>
      <c r="C12" s="29" t="s">
        <v>78</v>
      </c>
      <c r="D12" s="32">
        <v>1000.0</v>
      </c>
      <c r="E12" s="65"/>
      <c r="F12" s="65"/>
      <c r="G12" s="1"/>
      <c r="H12" s="66" t="s">
        <v>79</v>
      </c>
      <c r="I12" s="68">
        <f>IFERROR(I9/I5,0)</f>
        <v>0.2285714286</v>
      </c>
      <c r="J12" s="1"/>
      <c r="K12" s="1"/>
    </row>
    <row r="13" ht="15.0" customHeight="1">
      <c r="A13" s="1"/>
      <c r="B13" s="29" t="s">
        <v>77</v>
      </c>
      <c r="C13" s="29" t="s">
        <v>81</v>
      </c>
      <c r="D13" s="32">
        <v>500.0</v>
      </c>
      <c r="E13" s="65"/>
      <c r="F13" s="65"/>
      <c r="G13" s="1"/>
      <c r="H13" s="70"/>
      <c r="I13" s="70"/>
      <c r="J13" s="1"/>
      <c r="K13" s="1"/>
    </row>
    <row r="14" ht="15.0" customHeight="1">
      <c r="A14" s="1"/>
      <c r="B14" s="29" t="s">
        <v>77</v>
      </c>
      <c r="C14" s="29" t="s">
        <v>83</v>
      </c>
      <c r="D14" s="32">
        <v>200.0</v>
      </c>
      <c r="E14" s="65"/>
      <c r="F14" s="65"/>
      <c r="G14" s="1"/>
      <c r="H14" s="71" t="s">
        <v>84</v>
      </c>
      <c r="I14" s="72"/>
      <c r="J14" s="1"/>
      <c r="K14" s="1"/>
    </row>
    <row r="15" ht="15.0" customHeight="1">
      <c r="A15" s="1"/>
      <c r="B15" s="29" t="s">
        <v>85</v>
      </c>
      <c r="C15" s="29" t="s">
        <v>86</v>
      </c>
      <c r="D15" s="32">
        <v>1000.0</v>
      </c>
      <c r="E15" s="65"/>
      <c r="F15" s="65"/>
      <c r="G15" s="1"/>
      <c r="H15" s="73"/>
      <c r="I15" s="74"/>
      <c r="J15" s="1"/>
      <c r="K15" s="1"/>
    </row>
    <row r="16" ht="15.0" customHeight="1">
      <c r="A16" s="1"/>
      <c r="B16" s="29" t="s">
        <v>85</v>
      </c>
      <c r="C16" s="29" t="s">
        <v>87</v>
      </c>
      <c r="D16" s="32">
        <v>300.0</v>
      </c>
      <c r="E16" s="65"/>
      <c r="F16" s="65"/>
      <c r="G16" s="1"/>
      <c r="H16" s="75"/>
      <c r="I16" s="76"/>
      <c r="J16" s="1"/>
      <c r="K16" s="1"/>
    </row>
    <row r="17" ht="15.0" customHeight="1">
      <c r="A17" s="1"/>
      <c r="B17" s="29" t="s">
        <v>85</v>
      </c>
      <c r="C17" s="29" t="s">
        <v>72</v>
      </c>
      <c r="D17" s="32">
        <v>300.0</v>
      </c>
      <c r="E17" s="65"/>
      <c r="F17" s="65"/>
      <c r="G17" s="1"/>
      <c r="H17" s="1"/>
      <c r="I17" s="1"/>
      <c r="J17" s="1"/>
      <c r="K17" s="1"/>
    </row>
    <row r="18" ht="15.0" customHeight="1">
      <c r="A18" s="1"/>
      <c r="B18" s="65"/>
      <c r="C18" s="65"/>
      <c r="D18" s="77"/>
      <c r="E18" s="65"/>
      <c r="F18" s="65"/>
      <c r="G18" s="1"/>
      <c r="H18" s="1"/>
      <c r="I18" s="1"/>
      <c r="J18" s="1"/>
      <c r="K18" s="1"/>
    </row>
    <row r="19" ht="15.0" customHeight="1">
      <c r="A19" s="1"/>
      <c r="B19" s="65"/>
      <c r="C19" s="65"/>
      <c r="D19" s="77"/>
      <c r="E19" s="65"/>
      <c r="F19" s="65"/>
      <c r="G19" s="1"/>
      <c r="H19" s="1"/>
      <c r="I19" s="1"/>
      <c r="J19" s="1"/>
      <c r="K19" s="1"/>
    </row>
    <row r="20" ht="15.75" customHeight="1">
      <c r="A20" s="1"/>
      <c r="B20" s="65"/>
      <c r="C20" s="65"/>
      <c r="D20" s="77"/>
      <c r="E20" s="65"/>
      <c r="F20" s="65"/>
      <c r="G20" s="1"/>
      <c r="H20" s="1"/>
      <c r="I20" s="1"/>
      <c r="J20" s="1"/>
      <c r="K20" s="1"/>
    </row>
    <row r="21" ht="15.75" customHeight="1">
      <c r="A21" s="1"/>
      <c r="B21" s="65"/>
      <c r="C21" s="65"/>
      <c r="D21" s="77"/>
      <c r="E21" s="65"/>
      <c r="F21" s="65"/>
      <c r="G21" s="1"/>
      <c r="H21" s="1"/>
      <c r="I21" s="1"/>
      <c r="J21" s="1"/>
      <c r="K21" s="1"/>
    </row>
    <row r="22" ht="15.75" customHeight="1">
      <c r="A22" s="1"/>
      <c r="B22" s="65"/>
      <c r="C22" s="65"/>
      <c r="D22" s="77"/>
      <c r="E22" s="65"/>
      <c r="F22" s="65"/>
      <c r="G22" s="1"/>
      <c r="H22" s="1"/>
      <c r="I22" s="1"/>
      <c r="J22" s="1"/>
      <c r="K22" s="1"/>
    </row>
    <row r="23" ht="15.75" customHeight="1">
      <c r="A23" s="1"/>
      <c r="B23" s="65"/>
      <c r="C23" s="65"/>
      <c r="D23" s="77"/>
      <c r="E23" s="65"/>
      <c r="F23" s="65"/>
      <c r="G23" s="1"/>
      <c r="H23" s="1"/>
      <c r="I23" s="1"/>
      <c r="J23" s="1"/>
      <c r="K23" s="1"/>
    </row>
    <row r="24" ht="15.75" customHeight="1">
      <c r="A24" s="1"/>
      <c r="B24" s="65"/>
      <c r="C24" s="65"/>
      <c r="D24" s="77"/>
      <c r="E24" s="65"/>
      <c r="F24" s="65"/>
      <c r="G24" s="1"/>
      <c r="H24" s="1"/>
      <c r="I24" s="1"/>
      <c r="J24" s="1"/>
      <c r="K24" s="1"/>
    </row>
    <row r="25" ht="15.75" customHeight="1">
      <c r="A25" s="1"/>
      <c r="B25" s="65"/>
      <c r="C25" s="65"/>
      <c r="D25" s="77"/>
      <c r="E25" s="65"/>
      <c r="F25" s="65"/>
      <c r="G25" s="1"/>
      <c r="H25" s="1"/>
      <c r="I25" s="1"/>
      <c r="J25" s="1"/>
      <c r="K25" s="1"/>
    </row>
    <row r="26" ht="15.75" customHeight="1">
      <c r="A26" s="1"/>
      <c r="B26" s="65"/>
      <c r="C26" s="65"/>
      <c r="D26" s="82"/>
      <c r="E26" s="65"/>
      <c r="F26" s="65"/>
      <c r="G26" s="1"/>
      <c r="H26" s="1"/>
      <c r="I26" s="1"/>
      <c r="J26" s="1"/>
      <c r="K26" s="1"/>
    </row>
    <row r="27" ht="15.75" customHeight="1">
      <c r="A27" s="1"/>
      <c r="B27" s="65"/>
      <c r="C27" s="65"/>
      <c r="D27" s="77"/>
      <c r="E27" s="65"/>
      <c r="F27" s="65"/>
      <c r="G27" s="1"/>
      <c r="H27" s="1"/>
      <c r="I27" s="1"/>
      <c r="J27" s="1"/>
      <c r="K27" s="1"/>
    </row>
    <row r="28" ht="15.75" customHeight="1">
      <c r="A28" s="1"/>
      <c r="B28" s="65"/>
      <c r="C28" s="65"/>
      <c r="D28" s="77"/>
      <c r="E28" s="65"/>
      <c r="F28" s="65"/>
      <c r="G28" s="1"/>
      <c r="H28" s="1"/>
      <c r="I28" s="1"/>
      <c r="J28" s="1"/>
      <c r="K28" s="1"/>
    </row>
    <row r="29" ht="15.75" customHeight="1">
      <c r="A29" s="1"/>
      <c r="B29" s="65"/>
      <c r="C29" s="65"/>
      <c r="D29" s="77"/>
      <c r="E29" s="65"/>
      <c r="F29" s="65"/>
      <c r="G29" s="1"/>
      <c r="H29" s="1"/>
      <c r="I29" s="1"/>
      <c r="J29" s="1"/>
      <c r="K29" s="1"/>
    </row>
    <row r="30" ht="15.75" customHeight="1">
      <c r="A30" s="1"/>
      <c r="B30" s="65"/>
      <c r="C30" s="65"/>
      <c r="D30" s="77"/>
      <c r="E30" s="65"/>
      <c r="F30" s="65"/>
      <c r="G30" s="1"/>
      <c r="H30" s="1"/>
      <c r="I30" s="1"/>
      <c r="J30" s="1"/>
      <c r="K30" s="1"/>
    </row>
    <row r="31" ht="15.75" customHeight="1">
      <c r="A31" s="1"/>
      <c r="B31" s="65"/>
      <c r="C31" s="65"/>
      <c r="D31" s="77"/>
      <c r="E31" s="65"/>
      <c r="F31" s="65"/>
      <c r="G31" s="1"/>
      <c r="H31" s="1"/>
      <c r="I31" s="1"/>
      <c r="J31" s="1"/>
      <c r="K31" s="1"/>
    </row>
    <row r="32" ht="15.75" customHeight="1">
      <c r="A32" s="1"/>
      <c r="B32" s="65"/>
      <c r="C32" s="65"/>
      <c r="D32" s="77"/>
      <c r="E32" s="65"/>
      <c r="F32" s="65"/>
      <c r="G32" s="1"/>
      <c r="H32" s="1"/>
      <c r="I32" s="1"/>
      <c r="J32" s="1"/>
      <c r="K32" s="1"/>
    </row>
    <row r="33" ht="15.75" customHeight="1">
      <c r="A33" s="1"/>
      <c r="B33" s="65"/>
      <c r="C33" s="65"/>
      <c r="D33" s="77"/>
      <c r="E33" s="65"/>
      <c r="F33" s="65"/>
      <c r="G33" s="1"/>
      <c r="H33" s="1"/>
      <c r="I33" s="1"/>
      <c r="J33" s="1"/>
      <c r="K33" s="1"/>
    </row>
    <row r="34" ht="15.75" customHeight="1">
      <c r="A34" s="1"/>
      <c r="B34" s="65"/>
      <c r="C34" s="65"/>
      <c r="D34" s="77"/>
      <c r="E34" s="65"/>
      <c r="F34" s="65"/>
      <c r="G34" s="1"/>
      <c r="H34" s="1"/>
      <c r="I34" s="1"/>
      <c r="J34" s="1"/>
      <c r="K34" s="1"/>
    </row>
    <row r="35" ht="15.75" customHeight="1">
      <c r="A35" s="1"/>
      <c r="B35" s="65"/>
      <c r="C35" s="65"/>
      <c r="D35" s="77"/>
      <c r="E35" s="65"/>
      <c r="F35" s="65"/>
      <c r="G35" s="1"/>
      <c r="H35" s="1"/>
      <c r="I35" s="1"/>
      <c r="J35" s="1"/>
      <c r="K35" s="1"/>
    </row>
    <row r="36" ht="15.75" customHeight="1">
      <c r="A36" s="1"/>
      <c r="B36" s="65"/>
      <c r="C36" s="65"/>
      <c r="D36" s="77"/>
      <c r="E36" s="65"/>
      <c r="F36" s="65"/>
      <c r="G36" s="1"/>
      <c r="H36" s="1"/>
      <c r="I36" s="1"/>
      <c r="J36" s="1"/>
      <c r="K36" s="1"/>
    </row>
    <row r="37" ht="15.75" customHeight="1">
      <c r="A37" s="1"/>
      <c r="B37" s="65"/>
      <c r="C37" s="65"/>
      <c r="D37" s="77"/>
      <c r="E37" s="65"/>
      <c r="F37" s="65"/>
      <c r="G37" s="1"/>
      <c r="H37" s="1"/>
      <c r="I37" s="1"/>
      <c r="J37" s="1"/>
      <c r="K37" s="1"/>
    </row>
    <row r="38" ht="15.75" customHeight="1">
      <c r="A38" s="1"/>
      <c r="B38" s="65"/>
      <c r="C38" s="65"/>
      <c r="D38" s="77"/>
      <c r="E38" s="65"/>
      <c r="F38" s="65"/>
      <c r="G38" s="1"/>
      <c r="H38" s="1"/>
      <c r="I38" s="1"/>
      <c r="J38" s="1"/>
      <c r="K38" s="1"/>
    </row>
    <row r="39" ht="15.75" customHeight="1">
      <c r="A39" s="1"/>
      <c r="B39" s="65"/>
      <c r="C39" s="65"/>
      <c r="D39" s="77"/>
      <c r="E39" s="65"/>
      <c r="F39" s="65"/>
      <c r="G39" s="1"/>
      <c r="H39" s="1"/>
      <c r="I39" s="1"/>
      <c r="J39" s="1"/>
      <c r="K39" s="1"/>
    </row>
    <row r="40" ht="15.75" customHeight="1">
      <c r="A40" s="1"/>
      <c r="B40" s="1"/>
      <c r="C40" s="1"/>
      <c r="D40" s="1"/>
      <c r="E40" s="1"/>
      <c r="F40" s="1"/>
      <c r="G40" s="1"/>
      <c r="H40" s="1"/>
      <c r="I40" s="1"/>
      <c r="J40" s="1"/>
      <c r="K40" s="1"/>
    </row>
    <row r="41" ht="15.75" customHeight="1">
      <c r="A41" s="1"/>
      <c r="B41" s="86" t="s">
        <v>95</v>
      </c>
      <c r="C41" s="1"/>
      <c r="D41" s="1"/>
      <c r="E41" s="1"/>
      <c r="F41" s="1"/>
      <c r="G41" s="1"/>
      <c r="H41" s="1"/>
      <c r="I41" s="1"/>
      <c r="J41" s="1"/>
      <c r="K41" s="1"/>
    </row>
    <row r="42" ht="15.75" customHeight="1">
      <c r="A42" s="1"/>
      <c r="B42" s="8" t="s">
        <v>96</v>
      </c>
      <c r="C42" s="8" t="s">
        <v>97</v>
      </c>
      <c r="D42" s="8" t="s">
        <v>13</v>
      </c>
      <c r="E42" s="8" t="s">
        <v>99</v>
      </c>
      <c r="F42" s="8" t="s">
        <v>100</v>
      </c>
      <c r="G42" s="8" t="s">
        <v>101</v>
      </c>
      <c r="H42" s="8" t="s">
        <v>102</v>
      </c>
      <c r="I42" s="1"/>
      <c r="J42" s="1"/>
      <c r="K42" s="1"/>
    </row>
    <row r="43" ht="15.75" customHeight="1">
      <c r="A43" s="1"/>
      <c r="B43" s="92" t="s">
        <v>103</v>
      </c>
      <c r="C43" s="94" t="s">
        <v>104</v>
      </c>
      <c r="D43" s="95" t="s">
        <v>49</v>
      </c>
      <c r="E43" s="96">
        <v>12.0</v>
      </c>
      <c r="F43" s="96">
        <v>12.0</v>
      </c>
      <c r="G43" s="94" t="s">
        <v>105</v>
      </c>
      <c r="H43" s="94" t="s">
        <v>106</v>
      </c>
      <c r="I43" s="1"/>
      <c r="J43" s="1"/>
      <c r="K43" s="1"/>
    </row>
    <row r="44" ht="15.75" customHeight="1">
      <c r="A44" s="1"/>
      <c r="B44" s="98" t="s">
        <v>103</v>
      </c>
      <c r="C44" s="95" t="s">
        <v>107</v>
      </c>
      <c r="D44" s="95" t="s">
        <v>49</v>
      </c>
      <c r="E44" s="99">
        <v>100.0</v>
      </c>
      <c r="F44" s="99">
        <v>100.0</v>
      </c>
      <c r="G44" s="95" t="s">
        <v>108</v>
      </c>
      <c r="H44" s="95" t="s">
        <v>109</v>
      </c>
      <c r="I44" s="1"/>
      <c r="J44" s="1"/>
      <c r="K44" s="1"/>
    </row>
    <row r="45" ht="15.75" customHeight="1">
      <c r="A45" s="1"/>
      <c r="B45" s="98" t="s">
        <v>103</v>
      </c>
      <c r="C45" s="95" t="s">
        <v>110</v>
      </c>
      <c r="D45" s="95" t="s">
        <v>49</v>
      </c>
      <c r="E45" s="99">
        <v>0.0</v>
      </c>
      <c r="F45" s="99">
        <v>12.0</v>
      </c>
      <c r="G45" s="95" t="s">
        <v>105</v>
      </c>
      <c r="H45" s="95" t="s">
        <v>106</v>
      </c>
      <c r="I45" s="1"/>
      <c r="J45" s="1"/>
      <c r="K45" s="1"/>
    </row>
    <row r="46" ht="15.75" customHeight="1">
      <c r="A46" s="1"/>
      <c r="B46" s="98" t="s">
        <v>103</v>
      </c>
      <c r="C46" s="98"/>
      <c r="D46" s="98"/>
      <c r="E46" s="78"/>
      <c r="F46" s="78"/>
      <c r="G46" s="98"/>
      <c r="H46" s="98"/>
      <c r="I46" s="1"/>
      <c r="J46" s="1"/>
      <c r="K46" s="1"/>
    </row>
    <row r="47" ht="15.75" customHeight="1">
      <c r="A47" s="1"/>
      <c r="B47" s="98" t="s">
        <v>103</v>
      </c>
      <c r="C47" s="98"/>
      <c r="D47" s="98"/>
      <c r="E47" s="78"/>
      <c r="F47" s="78"/>
      <c r="G47" s="98"/>
      <c r="H47" s="98"/>
      <c r="I47" s="1"/>
      <c r="J47" s="1"/>
      <c r="K47" s="1"/>
    </row>
    <row r="48" ht="15.75" customHeight="1">
      <c r="A48" s="1"/>
      <c r="B48" s="98" t="s">
        <v>103</v>
      </c>
      <c r="C48" s="98"/>
      <c r="D48" s="98"/>
      <c r="E48" s="78"/>
      <c r="F48" s="78"/>
      <c r="G48" s="98"/>
      <c r="H48" s="98"/>
      <c r="I48" s="1"/>
      <c r="J48" s="1"/>
      <c r="K48" s="1"/>
    </row>
    <row r="49" ht="15.75" customHeight="1">
      <c r="A49" s="1"/>
      <c r="B49" s="98" t="s">
        <v>103</v>
      </c>
      <c r="C49" s="98"/>
      <c r="D49" s="98"/>
      <c r="E49" s="78"/>
      <c r="F49" s="78"/>
      <c r="G49" s="98"/>
      <c r="H49" s="98"/>
      <c r="I49" s="1"/>
      <c r="J49" s="1"/>
      <c r="K49" s="1"/>
    </row>
    <row r="50" ht="15.75" customHeight="1">
      <c r="A50" s="1"/>
      <c r="B50" s="98" t="s">
        <v>103</v>
      </c>
      <c r="C50" s="98"/>
      <c r="D50" s="98"/>
      <c r="E50" s="78"/>
      <c r="F50" s="78"/>
      <c r="G50" s="98"/>
      <c r="H50" s="98"/>
      <c r="I50" s="1"/>
      <c r="J50" s="1"/>
      <c r="K50" s="1"/>
    </row>
    <row r="51" ht="15.75" customHeight="1">
      <c r="A51" s="1"/>
      <c r="B51" s="98" t="s">
        <v>103</v>
      </c>
      <c r="C51" s="98"/>
      <c r="D51" s="98"/>
      <c r="E51" s="78"/>
      <c r="F51" s="78"/>
      <c r="G51" s="98"/>
      <c r="H51" s="98"/>
      <c r="I51" s="1"/>
      <c r="J51" s="1"/>
      <c r="K51" s="1"/>
    </row>
    <row r="52" ht="15.75" customHeight="1">
      <c r="A52" s="1"/>
      <c r="B52" s="98" t="s">
        <v>103</v>
      </c>
      <c r="C52" s="98"/>
      <c r="D52" s="98"/>
      <c r="E52" s="78"/>
      <c r="F52" s="78"/>
      <c r="G52" s="98"/>
      <c r="H52" s="98"/>
      <c r="I52" s="1"/>
      <c r="J52" s="1"/>
      <c r="K52" s="1"/>
    </row>
    <row r="53" ht="27.75" customHeight="1">
      <c r="A53" s="1"/>
      <c r="B53" s="98" t="s">
        <v>103</v>
      </c>
      <c r="C53" s="98"/>
      <c r="D53" s="98"/>
      <c r="E53" s="78"/>
      <c r="F53" s="78"/>
      <c r="G53" s="98"/>
      <c r="H53" s="98"/>
      <c r="I53" s="1"/>
      <c r="J53" s="1"/>
      <c r="K53" s="1"/>
    </row>
    <row r="54" ht="24.75" customHeight="1">
      <c r="A54" s="1"/>
      <c r="B54" s="98" t="s">
        <v>103</v>
      </c>
      <c r="C54" s="98"/>
      <c r="D54" s="98"/>
      <c r="E54" s="78"/>
      <c r="F54" s="78"/>
      <c r="G54" s="98"/>
      <c r="H54" s="98"/>
      <c r="I54" s="1"/>
      <c r="J54" s="1"/>
      <c r="K54" s="1"/>
    </row>
    <row r="55" ht="15.75" customHeight="1">
      <c r="A55" s="1"/>
      <c r="B55" s="98" t="s">
        <v>103</v>
      </c>
      <c r="C55" s="98"/>
      <c r="D55" s="98"/>
      <c r="E55" s="78"/>
      <c r="F55" s="78"/>
      <c r="G55" s="98"/>
      <c r="H55" s="98"/>
      <c r="I55" s="1"/>
      <c r="J55" s="1"/>
      <c r="K55" s="1"/>
    </row>
    <row r="56" ht="15.75" customHeight="1">
      <c r="A56" s="1"/>
      <c r="B56" s="98" t="s">
        <v>103</v>
      </c>
      <c r="C56" s="98"/>
      <c r="D56" s="98"/>
      <c r="E56" s="78"/>
      <c r="F56" s="78"/>
      <c r="G56" s="98"/>
      <c r="H56" s="98"/>
      <c r="I56" s="1"/>
      <c r="J56" s="1"/>
      <c r="K56" s="1"/>
    </row>
    <row r="57" ht="15.75" customHeight="1">
      <c r="A57" s="1"/>
      <c r="B57" s="98" t="s">
        <v>103</v>
      </c>
      <c r="C57" s="98"/>
      <c r="D57" s="98"/>
      <c r="E57" s="78"/>
      <c r="F57" s="78"/>
      <c r="G57" s="98"/>
      <c r="H57" s="98"/>
      <c r="I57" s="1"/>
      <c r="J57" s="1"/>
      <c r="K57" s="1"/>
    </row>
    <row r="58" ht="15.75" customHeight="1">
      <c r="A58" s="1"/>
      <c r="B58" s="98" t="s">
        <v>103</v>
      </c>
      <c r="C58" s="98"/>
      <c r="D58" s="98"/>
      <c r="E58" s="78"/>
      <c r="F58" s="78"/>
      <c r="G58" s="98"/>
      <c r="H58" s="98"/>
      <c r="I58" s="1"/>
      <c r="J58" s="1"/>
      <c r="K58" s="1"/>
    </row>
    <row r="59" ht="15.75" customHeight="1">
      <c r="A59" s="1"/>
      <c r="B59" s="98" t="s">
        <v>103</v>
      </c>
      <c r="C59" s="98"/>
      <c r="D59" s="98"/>
      <c r="E59" s="78"/>
      <c r="F59" s="78"/>
      <c r="G59" s="98"/>
      <c r="H59" s="98"/>
      <c r="I59" s="1"/>
      <c r="J59" s="1"/>
      <c r="K59" s="1"/>
    </row>
    <row r="60" ht="15.75" customHeight="1">
      <c r="A60" s="1"/>
      <c r="B60" s="98" t="s">
        <v>103</v>
      </c>
      <c r="C60" s="98"/>
      <c r="D60" s="98"/>
      <c r="E60" s="78"/>
      <c r="F60" s="78"/>
      <c r="G60" s="98"/>
      <c r="H60" s="98"/>
      <c r="I60" s="1"/>
      <c r="J60" s="1"/>
      <c r="K60" s="1"/>
    </row>
    <row r="61" ht="15.75" customHeight="1">
      <c r="A61" s="1"/>
      <c r="B61" s="98" t="s">
        <v>103</v>
      </c>
      <c r="C61" s="98"/>
      <c r="D61" s="98"/>
      <c r="E61" s="78"/>
      <c r="F61" s="78"/>
      <c r="G61" s="98"/>
      <c r="H61" s="98"/>
      <c r="I61" s="1"/>
      <c r="J61" s="1"/>
      <c r="K61" s="1"/>
    </row>
    <row r="62" ht="15.75" customHeight="1">
      <c r="A62" s="1"/>
      <c r="B62" s="98" t="s">
        <v>103</v>
      </c>
      <c r="C62" s="98"/>
      <c r="D62" s="98"/>
      <c r="E62" s="78"/>
      <c r="F62" s="78"/>
      <c r="G62" s="98"/>
      <c r="H62" s="98"/>
      <c r="I62" s="1"/>
      <c r="J62" s="1"/>
      <c r="K62" s="1"/>
    </row>
    <row r="63" ht="15.75" customHeight="1">
      <c r="A63" s="1"/>
      <c r="B63" s="98" t="s">
        <v>103</v>
      </c>
      <c r="C63" s="98"/>
      <c r="D63" s="98"/>
      <c r="E63" s="78"/>
      <c r="F63" s="78"/>
      <c r="G63" s="98"/>
      <c r="H63" s="98"/>
      <c r="I63" s="1"/>
      <c r="J63" s="1"/>
      <c r="K63" s="1"/>
    </row>
    <row r="64" ht="15.75" customHeight="1">
      <c r="A64" s="1"/>
      <c r="B64" s="98" t="s">
        <v>103</v>
      </c>
      <c r="C64" s="98"/>
      <c r="D64" s="98"/>
      <c r="E64" s="78"/>
      <c r="F64" s="78"/>
      <c r="G64" s="98"/>
      <c r="H64" s="98"/>
      <c r="I64" s="1"/>
      <c r="J64" s="1"/>
      <c r="K64" s="1"/>
    </row>
    <row r="65" ht="15.75" customHeight="1">
      <c r="A65" s="1"/>
      <c r="B65" s="98" t="s">
        <v>103</v>
      </c>
      <c r="C65" s="98"/>
      <c r="D65" s="98"/>
      <c r="E65" s="78"/>
      <c r="F65" s="78"/>
      <c r="G65" s="98"/>
      <c r="H65" s="98"/>
      <c r="I65" s="1"/>
      <c r="J65" s="1"/>
      <c r="K65" s="1"/>
    </row>
    <row r="66" ht="15.75" customHeight="1">
      <c r="A66" s="1"/>
      <c r="B66" s="98" t="s">
        <v>103</v>
      </c>
      <c r="C66" s="98"/>
      <c r="D66" s="98"/>
      <c r="E66" s="78"/>
      <c r="F66" s="78"/>
      <c r="G66" s="98"/>
      <c r="H66" s="98"/>
      <c r="I66" s="1"/>
      <c r="J66" s="1"/>
      <c r="K66" s="1"/>
    </row>
    <row r="67" ht="15.75" customHeight="1">
      <c r="A67" s="1"/>
      <c r="B67" s="98" t="s">
        <v>103</v>
      </c>
      <c r="C67" s="98"/>
      <c r="D67" s="98"/>
      <c r="E67" s="78"/>
      <c r="F67" s="78"/>
      <c r="G67" s="98"/>
      <c r="H67" s="98"/>
      <c r="I67" s="1"/>
      <c r="J67" s="1"/>
      <c r="K67" s="1"/>
    </row>
    <row r="68" ht="15.75" customHeight="1">
      <c r="A68" s="1"/>
      <c r="B68" s="1"/>
      <c r="C68" s="1"/>
      <c r="D68" s="1"/>
      <c r="E68" s="1"/>
      <c r="F68" s="1"/>
      <c r="G68" s="1"/>
      <c r="H68" s="1"/>
      <c r="I68" s="1"/>
      <c r="J68" s="1"/>
      <c r="K68" s="1"/>
    </row>
    <row r="69" ht="15.75" customHeight="1">
      <c r="A69" s="1"/>
      <c r="B69" s="110" t="s">
        <v>120</v>
      </c>
      <c r="C69" s="59"/>
      <c r="D69" s="59"/>
      <c r="E69" s="59"/>
      <c r="F69" s="59"/>
      <c r="G69" s="59"/>
      <c r="H69" s="62"/>
      <c r="I69" s="1"/>
      <c r="J69" s="1"/>
      <c r="K69" s="1"/>
    </row>
    <row r="70" ht="15.75" customHeight="1">
      <c r="A70" s="1"/>
      <c r="B70" s="6"/>
      <c r="C70" s="6"/>
      <c r="D70" s="6"/>
      <c r="E70" s="6"/>
      <c r="F70" s="6"/>
      <c r="G70" s="6"/>
      <c r="H70" s="6"/>
      <c r="I70" s="1"/>
      <c r="J70" s="1"/>
      <c r="K70" s="1"/>
    </row>
    <row r="71" ht="15.75" customHeight="1">
      <c r="A71" s="1"/>
      <c r="B71" s="110" t="s">
        <v>123</v>
      </c>
      <c r="C71" s="59"/>
      <c r="D71" s="59"/>
      <c r="E71" s="59"/>
      <c r="F71" s="59"/>
      <c r="G71" s="59"/>
      <c r="H71" s="62"/>
      <c r="I71" s="1"/>
      <c r="J71" s="1"/>
      <c r="K71" s="1"/>
    </row>
    <row r="72" ht="15.75" customHeight="1">
      <c r="A72" s="1"/>
      <c r="B72" s="1"/>
      <c r="C72" s="1"/>
      <c r="D72" s="1"/>
      <c r="E72" s="1"/>
      <c r="F72" s="1"/>
      <c r="G72" s="1"/>
      <c r="H72" s="1"/>
      <c r="I72" s="1"/>
      <c r="J72" s="1"/>
      <c r="K72" s="1"/>
    </row>
    <row r="73" ht="15.75" customHeight="1">
      <c r="A73" s="1"/>
      <c r="B73" s="1"/>
      <c r="C73" s="1"/>
      <c r="D73" s="1"/>
      <c r="E73" s="1"/>
      <c r="F73" s="1"/>
      <c r="G73" s="1"/>
      <c r="H73" s="1"/>
      <c r="I73" s="1"/>
      <c r="J73" s="1"/>
      <c r="K73" s="1"/>
    </row>
    <row r="74" ht="15.75" customHeight="1">
      <c r="A74" s="1"/>
      <c r="B74" s="1"/>
      <c r="C74" s="1"/>
      <c r="D74" s="1"/>
      <c r="E74" s="1"/>
      <c r="F74" s="1"/>
      <c r="G74" s="1"/>
      <c r="H74" s="1"/>
      <c r="I74" s="1"/>
      <c r="J74" s="1"/>
      <c r="K74" s="1"/>
    </row>
    <row r="75" ht="15.75" customHeight="1">
      <c r="A75" s="1"/>
      <c r="B75" s="1"/>
      <c r="C75" s="1"/>
      <c r="D75" s="1"/>
      <c r="E75" s="1"/>
      <c r="F75" s="1"/>
      <c r="G75" s="1"/>
      <c r="H75" s="1"/>
      <c r="I75" s="1"/>
      <c r="J75" s="1"/>
      <c r="K75" s="1"/>
    </row>
    <row r="76" ht="15.75" customHeight="1">
      <c r="A76" s="1"/>
      <c r="B76" s="1"/>
      <c r="C76" s="1"/>
      <c r="D76" s="1"/>
      <c r="E76" s="1"/>
      <c r="F76" s="1"/>
      <c r="G76" s="1"/>
      <c r="H76" s="1"/>
      <c r="I76" s="1"/>
      <c r="J76" s="1"/>
      <c r="K76" s="1"/>
    </row>
    <row r="77" ht="15.75" customHeight="1">
      <c r="A77" s="1"/>
      <c r="B77" s="1"/>
      <c r="C77" s="1"/>
      <c r="D77" s="1"/>
      <c r="E77" s="1"/>
      <c r="F77" s="1"/>
      <c r="G77" s="1"/>
      <c r="H77" s="1"/>
      <c r="I77" s="1"/>
      <c r="J77" s="1"/>
      <c r="K77" s="1"/>
    </row>
    <row r="78" ht="15.75" customHeight="1">
      <c r="A78" s="1"/>
      <c r="B78" s="1"/>
      <c r="C78" s="1"/>
      <c r="D78" s="1"/>
      <c r="E78" s="1"/>
      <c r="F78" s="1"/>
      <c r="G78" s="1"/>
      <c r="H78" s="1"/>
      <c r="I78" s="1"/>
      <c r="J78" s="1"/>
      <c r="K78" s="1"/>
    </row>
    <row r="79" ht="15.75" customHeight="1">
      <c r="A79" s="1"/>
      <c r="B79" s="1"/>
      <c r="C79" s="1"/>
      <c r="D79" s="1"/>
      <c r="E79" s="1"/>
      <c r="F79" s="1"/>
      <c r="G79" s="1"/>
      <c r="H79" s="1"/>
      <c r="I79" s="1"/>
      <c r="J79" s="1"/>
      <c r="K79" s="1"/>
    </row>
    <row r="80" ht="15.75" customHeight="1">
      <c r="A80" s="1"/>
      <c r="B80" s="1"/>
      <c r="C80" s="1"/>
      <c r="D80" s="1"/>
      <c r="E80" s="1"/>
      <c r="F80" s="1"/>
      <c r="G80" s="1"/>
      <c r="H80" s="1"/>
      <c r="I80" s="1"/>
      <c r="J80" s="1"/>
      <c r="K80" s="1"/>
    </row>
    <row r="81" ht="15.75" customHeight="1">
      <c r="A81" s="1"/>
      <c r="B81" s="1"/>
      <c r="C81" s="1"/>
      <c r="D81" s="1"/>
      <c r="E81" s="1"/>
      <c r="F81" s="1"/>
      <c r="G81" s="1"/>
      <c r="H81" s="1"/>
      <c r="I81" s="1"/>
      <c r="J81" s="1"/>
      <c r="K81" s="1"/>
    </row>
    <row r="82" ht="15.75" customHeight="1">
      <c r="A82" s="1"/>
      <c r="B82" s="1"/>
      <c r="C82" s="1"/>
      <c r="D82" s="1"/>
      <c r="E82" s="1"/>
      <c r="F82" s="1"/>
      <c r="G82" s="1"/>
      <c r="H82" s="1"/>
      <c r="I82" s="1"/>
      <c r="J82" s="1"/>
      <c r="K82" s="1"/>
    </row>
    <row r="83" ht="15.75" customHeight="1">
      <c r="A83" s="1"/>
      <c r="B83" s="1"/>
      <c r="C83" s="1"/>
      <c r="D83" s="1"/>
      <c r="E83" s="1"/>
      <c r="F83" s="1"/>
      <c r="G83" s="1"/>
      <c r="H83" s="1"/>
      <c r="I83" s="1"/>
      <c r="J83" s="1"/>
      <c r="K83" s="1"/>
    </row>
    <row r="84" ht="15.75" customHeight="1">
      <c r="A84" s="1"/>
      <c r="B84" s="1"/>
      <c r="C84" s="1"/>
      <c r="D84" s="1"/>
      <c r="E84" s="1"/>
      <c r="F84" s="1"/>
      <c r="G84" s="1"/>
      <c r="H84" s="1"/>
      <c r="I84" s="1"/>
      <c r="J84" s="1"/>
      <c r="K84" s="1"/>
    </row>
    <row r="85" ht="15.75" customHeight="1">
      <c r="A85" s="1"/>
      <c r="B85" s="1"/>
      <c r="C85" s="1"/>
      <c r="D85" s="1"/>
      <c r="E85" s="1"/>
      <c r="F85" s="1"/>
      <c r="G85" s="1"/>
      <c r="H85" s="1"/>
      <c r="I85" s="1"/>
      <c r="J85" s="1"/>
      <c r="K85" s="1"/>
    </row>
    <row r="86" ht="15.75" customHeight="1">
      <c r="A86" s="1"/>
      <c r="B86" s="1"/>
      <c r="C86" s="1"/>
      <c r="D86" s="1"/>
      <c r="E86" s="1"/>
      <c r="F86" s="1"/>
      <c r="G86" s="1"/>
      <c r="H86" s="1"/>
      <c r="I86" s="1"/>
      <c r="J86" s="1"/>
      <c r="K86" s="1"/>
    </row>
    <row r="87" ht="15.75" customHeight="1">
      <c r="A87" s="1"/>
      <c r="B87" s="1"/>
      <c r="C87" s="1"/>
      <c r="D87" s="1"/>
      <c r="E87" s="1"/>
      <c r="F87" s="1"/>
      <c r="G87" s="1"/>
      <c r="H87" s="1"/>
      <c r="I87" s="1"/>
      <c r="J87" s="1"/>
      <c r="K87" s="1"/>
    </row>
    <row r="88" ht="15.75" customHeight="1">
      <c r="A88" s="1"/>
      <c r="B88" s="1"/>
      <c r="C88" s="1"/>
      <c r="D88" s="1"/>
      <c r="E88" s="1"/>
      <c r="F88" s="1"/>
      <c r="G88" s="1"/>
      <c r="H88" s="1"/>
      <c r="I88" s="1"/>
      <c r="J88" s="1"/>
      <c r="K88" s="1"/>
    </row>
    <row r="89" ht="15.75" customHeight="1">
      <c r="A89" s="1"/>
      <c r="B89" s="1"/>
      <c r="C89" s="1"/>
      <c r="D89" s="1"/>
      <c r="E89" s="1"/>
      <c r="F89" s="1"/>
      <c r="G89" s="1"/>
      <c r="H89" s="1"/>
      <c r="I89" s="1"/>
      <c r="J89" s="1"/>
      <c r="K89" s="1"/>
    </row>
    <row r="90" ht="15.75" customHeight="1">
      <c r="A90" s="1"/>
      <c r="B90" s="1"/>
      <c r="C90" s="1"/>
      <c r="D90" s="1"/>
      <c r="E90" s="1"/>
      <c r="F90" s="1"/>
      <c r="G90" s="1"/>
      <c r="H90" s="1"/>
      <c r="I90" s="1"/>
      <c r="J90" s="1"/>
      <c r="K90" s="1"/>
    </row>
    <row r="91" ht="15.75" customHeight="1">
      <c r="A91" s="1"/>
      <c r="B91" s="1"/>
      <c r="C91" s="1"/>
      <c r="D91" s="1"/>
      <c r="E91" s="1"/>
      <c r="F91" s="1"/>
      <c r="G91" s="1"/>
      <c r="H91" s="1"/>
      <c r="I91" s="1"/>
      <c r="J91" s="1"/>
      <c r="K91" s="1"/>
    </row>
    <row r="92" ht="15.75" customHeight="1">
      <c r="A92" s="1"/>
      <c r="B92" s="1"/>
      <c r="C92" s="1"/>
      <c r="D92" s="1"/>
      <c r="E92" s="1"/>
      <c r="F92" s="1"/>
      <c r="G92" s="1"/>
      <c r="H92" s="1"/>
      <c r="I92" s="1"/>
      <c r="J92" s="1"/>
      <c r="K92" s="1"/>
    </row>
    <row r="93" ht="15.75" customHeight="1">
      <c r="A93" s="1"/>
      <c r="B93" s="1"/>
      <c r="C93" s="1"/>
      <c r="D93" s="1"/>
      <c r="E93" s="1"/>
      <c r="F93" s="1"/>
      <c r="G93" s="1"/>
      <c r="H93" s="1"/>
      <c r="I93" s="1"/>
      <c r="J93" s="1"/>
      <c r="K93" s="1"/>
    </row>
    <row r="94" ht="15.75" customHeight="1">
      <c r="A94" s="1"/>
      <c r="B94" s="1"/>
      <c r="C94" s="1"/>
      <c r="D94" s="1"/>
      <c r="E94" s="1"/>
      <c r="F94" s="1"/>
      <c r="G94" s="1"/>
      <c r="H94" s="1"/>
      <c r="I94" s="1"/>
      <c r="J94" s="1"/>
      <c r="K94" s="1"/>
    </row>
    <row r="95" ht="15.75" customHeight="1">
      <c r="A95" s="1"/>
      <c r="B95" s="1"/>
      <c r="C95" s="1"/>
      <c r="D95" s="1"/>
      <c r="E95" s="1"/>
      <c r="F95" s="1"/>
      <c r="G95" s="1"/>
      <c r="H95" s="1"/>
      <c r="I95" s="1"/>
      <c r="J95" s="1"/>
      <c r="K95" s="1"/>
    </row>
    <row r="96" ht="15.75" customHeight="1">
      <c r="A96" s="1"/>
      <c r="B96" s="1"/>
      <c r="C96" s="1"/>
      <c r="D96" s="1"/>
      <c r="E96" s="1"/>
      <c r="F96" s="1"/>
      <c r="G96" s="1"/>
      <c r="H96" s="1"/>
      <c r="I96" s="1"/>
      <c r="J96" s="1"/>
      <c r="K96" s="1"/>
    </row>
    <row r="97" ht="15.75" customHeight="1">
      <c r="A97" s="1"/>
      <c r="B97" s="1"/>
      <c r="C97" s="1"/>
      <c r="D97" s="1"/>
      <c r="E97" s="1"/>
      <c r="F97" s="1"/>
      <c r="G97" s="1"/>
      <c r="H97" s="1"/>
      <c r="I97" s="1"/>
      <c r="J97" s="1"/>
      <c r="K97" s="1"/>
    </row>
    <row r="98" ht="15.75" customHeight="1">
      <c r="A98" s="1"/>
      <c r="B98" s="1"/>
      <c r="C98" s="1"/>
      <c r="D98" s="1"/>
      <c r="E98" s="1"/>
      <c r="F98" s="1"/>
      <c r="G98" s="1"/>
      <c r="H98" s="1"/>
      <c r="I98" s="1"/>
      <c r="J98" s="1"/>
      <c r="K98" s="1"/>
    </row>
    <row r="99" ht="15.75" customHeight="1">
      <c r="A99" s="1"/>
      <c r="B99" s="1"/>
      <c r="C99" s="1"/>
      <c r="D99" s="1"/>
      <c r="E99" s="1"/>
      <c r="F99" s="1"/>
      <c r="G99" s="1"/>
      <c r="H99" s="1"/>
      <c r="I99" s="1"/>
      <c r="J99" s="1"/>
      <c r="K99" s="1"/>
    </row>
    <row r="100" ht="15.75" customHeight="1">
      <c r="A100" s="1"/>
      <c r="B100" s="1"/>
      <c r="C100" s="1"/>
      <c r="D100" s="1"/>
      <c r="E100" s="1"/>
      <c r="F100" s="1"/>
      <c r="G100" s="1"/>
      <c r="H100" s="1"/>
      <c r="I100" s="1"/>
      <c r="J100" s="1"/>
      <c r="K100" s="1"/>
    </row>
    <row r="101" ht="15.75" customHeight="1">
      <c r="A101" s="1"/>
      <c r="B101" s="1"/>
      <c r="C101" s="1"/>
      <c r="D101" s="1"/>
      <c r="E101" s="1"/>
      <c r="F101" s="1"/>
      <c r="G101" s="1"/>
      <c r="H101" s="1"/>
      <c r="I101" s="1"/>
      <c r="J101" s="1"/>
      <c r="K101" s="1"/>
    </row>
    <row r="102" ht="15.75" customHeight="1">
      <c r="A102" s="1"/>
      <c r="B102" s="1"/>
      <c r="C102" s="1"/>
      <c r="D102" s="1"/>
      <c r="E102" s="1"/>
      <c r="F102" s="1"/>
      <c r="G102" s="1"/>
      <c r="H102" s="1"/>
      <c r="I102" s="1"/>
      <c r="J102" s="1"/>
      <c r="K102" s="1"/>
    </row>
    <row r="103" ht="15.75" customHeight="1">
      <c r="A103" s="1"/>
      <c r="B103" s="1"/>
      <c r="C103" s="1"/>
      <c r="D103" s="1"/>
      <c r="E103" s="1"/>
      <c r="F103" s="1"/>
      <c r="G103" s="1"/>
      <c r="H103" s="1"/>
      <c r="I103" s="1"/>
      <c r="J103" s="1"/>
      <c r="K103" s="1"/>
    </row>
    <row r="104" ht="15.75" customHeight="1">
      <c r="A104" s="1"/>
      <c r="B104" s="1"/>
      <c r="C104" s="1"/>
      <c r="D104" s="1"/>
      <c r="E104" s="1"/>
      <c r="F104" s="1"/>
      <c r="G104" s="1"/>
      <c r="H104" s="1"/>
      <c r="I104" s="1"/>
      <c r="J104" s="1"/>
      <c r="K104" s="1"/>
    </row>
    <row r="105" ht="15.75" customHeight="1">
      <c r="A105" s="1"/>
      <c r="B105" s="1"/>
      <c r="C105" s="1"/>
      <c r="D105" s="1"/>
      <c r="E105" s="1"/>
      <c r="F105" s="1"/>
      <c r="G105" s="1"/>
      <c r="H105" s="1"/>
      <c r="I105" s="1"/>
      <c r="J105" s="1"/>
      <c r="K105" s="1"/>
    </row>
    <row r="106" ht="15.75" customHeight="1">
      <c r="A106" s="1"/>
      <c r="B106" s="1"/>
      <c r="C106" s="1"/>
      <c r="D106" s="1"/>
      <c r="E106" s="1"/>
      <c r="F106" s="1"/>
      <c r="G106" s="1"/>
      <c r="H106" s="1"/>
      <c r="I106" s="1"/>
      <c r="J106" s="1"/>
      <c r="K106" s="1"/>
    </row>
    <row r="107" ht="15.75" customHeight="1">
      <c r="A107" s="1"/>
      <c r="B107" s="1"/>
      <c r="C107" s="1"/>
      <c r="D107" s="1"/>
      <c r="E107" s="1"/>
      <c r="F107" s="1"/>
      <c r="G107" s="1"/>
      <c r="H107" s="1"/>
      <c r="I107" s="1"/>
      <c r="J107" s="1"/>
      <c r="K107" s="1"/>
    </row>
    <row r="108" ht="15.75" customHeight="1">
      <c r="A108" s="1"/>
      <c r="B108" s="1"/>
      <c r="C108" s="1"/>
      <c r="D108" s="1"/>
      <c r="E108" s="1"/>
      <c r="F108" s="1"/>
      <c r="G108" s="1"/>
      <c r="H108" s="1"/>
      <c r="I108" s="1"/>
      <c r="J108" s="1"/>
      <c r="K108" s="1"/>
    </row>
    <row r="109" ht="15.75" customHeight="1">
      <c r="A109" s="1"/>
      <c r="B109" s="1"/>
      <c r="C109" s="1"/>
      <c r="D109" s="1"/>
      <c r="E109" s="1"/>
      <c r="F109" s="1"/>
      <c r="G109" s="1"/>
      <c r="H109" s="1"/>
      <c r="I109" s="1"/>
      <c r="J109" s="1"/>
      <c r="K109" s="1"/>
    </row>
    <row r="110" ht="15.75" customHeight="1">
      <c r="A110" s="1"/>
      <c r="B110" s="1"/>
      <c r="C110" s="1"/>
      <c r="D110" s="1"/>
      <c r="E110" s="1"/>
      <c r="F110" s="1"/>
      <c r="G110" s="1"/>
      <c r="H110" s="1"/>
      <c r="I110" s="1"/>
      <c r="J110" s="1"/>
      <c r="K110" s="1"/>
    </row>
    <row r="111" ht="15.75" customHeight="1">
      <c r="A111" s="1"/>
      <c r="B111" s="1"/>
      <c r="C111" s="1"/>
      <c r="D111" s="1"/>
      <c r="E111" s="1"/>
      <c r="F111" s="1"/>
      <c r="G111" s="1"/>
      <c r="H111" s="1"/>
      <c r="I111" s="1"/>
      <c r="J111" s="1"/>
      <c r="K111" s="1"/>
    </row>
    <row r="112" ht="15.75" customHeight="1">
      <c r="A112" s="1"/>
      <c r="B112" s="1"/>
      <c r="C112" s="1"/>
      <c r="D112" s="1"/>
      <c r="E112" s="1"/>
      <c r="F112" s="1"/>
      <c r="G112" s="1"/>
      <c r="H112" s="1"/>
      <c r="I112" s="1"/>
      <c r="J112" s="1"/>
      <c r="K112" s="1"/>
    </row>
    <row r="113" ht="15.75" customHeight="1">
      <c r="A113" s="1"/>
      <c r="B113" s="1"/>
      <c r="C113" s="1"/>
      <c r="D113" s="1"/>
      <c r="E113" s="1"/>
      <c r="F113" s="1"/>
      <c r="G113" s="1"/>
      <c r="H113" s="1"/>
      <c r="I113" s="1"/>
      <c r="J113" s="1"/>
      <c r="K113" s="1"/>
    </row>
    <row r="114" ht="15.75" customHeight="1">
      <c r="A114" s="1"/>
      <c r="B114" s="1"/>
      <c r="C114" s="1"/>
      <c r="D114" s="1"/>
      <c r="E114" s="1"/>
      <c r="F114" s="1"/>
      <c r="G114" s="1"/>
      <c r="H114" s="1"/>
      <c r="I114" s="1"/>
      <c r="J114" s="1"/>
      <c r="K114" s="1"/>
    </row>
    <row r="115" ht="15.75" customHeight="1">
      <c r="A115" s="1"/>
      <c r="B115" s="1"/>
      <c r="C115" s="1"/>
      <c r="D115" s="1"/>
      <c r="E115" s="1"/>
      <c r="F115" s="1"/>
      <c r="G115" s="1"/>
      <c r="H115" s="1"/>
      <c r="I115" s="1"/>
      <c r="J115" s="1"/>
      <c r="K115" s="1"/>
    </row>
    <row r="116" ht="15.75" customHeight="1">
      <c r="A116" s="1"/>
      <c r="B116" s="1"/>
      <c r="C116" s="1"/>
      <c r="D116" s="1"/>
      <c r="E116" s="1"/>
      <c r="F116" s="1"/>
      <c r="G116" s="1"/>
      <c r="H116" s="1"/>
      <c r="I116" s="1"/>
      <c r="J116" s="1"/>
      <c r="K116" s="1"/>
    </row>
    <row r="117" ht="15.75" customHeight="1">
      <c r="A117" s="1"/>
      <c r="B117" s="1"/>
      <c r="C117" s="1"/>
      <c r="D117" s="1"/>
      <c r="E117" s="1"/>
      <c r="F117" s="1"/>
      <c r="G117" s="1"/>
      <c r="H117" s="1"/>
      <c r="I117" s="1"/>
      <c r="J117" s="1"/>
      <c r="K117" s="1"/>
    </row>
    <row r="118" ht="15.75" customHeight="1">
      <c r="A118" s="1"/>
      <c r="B118" s="1"/>
      <c r="C118" s="1"/>
      <c r="D118" s="1"/>
      <c r="E118" s="1"/>
      <c r="F118" s="1"/>
      <c r="G118" s="1"/>
      <c r="H118" s="1"/>
      <c r="I118" s="1"/>
      <c r="J118" s="1"/>
      <c r="K118" s="1"/>
    </row>
    <row r="119" ht="15.75" customHeight="1">
      <c r="A119" s="1"/>
      <c r="B119" s="1"/>
      <c r="C119" s="1"/>
      <c r="D119" s="1"/>
      <c r="E119" s="1"/>
      <c r="F119" s="1"/>
      <c r="G119" s="1"/>
      <c r="H119" s="1"/>
      <c r="I119" s="1"/>
      <c r="J119" s="1"/>
      <c r="K119" s="1"/>
    </row>
    <row r="120" ht="15.75" customHeight="1">
      <c r="A120" s="1"/>
      <c r="B120" s="1"/>
      <c r="C120" s="1"/>
      <c r="D120" s="1"/>
      <c r="E120" s="1"/>
      <c r="F120" s="1"/>
      <c r="G120" s="1"/>
      <c r="H120" s="1"/>
      <c r="I120" s="1"/>
      <c r="J120" s="1"/>
      <c r="K120" s="1"/>
    </row>
    <row r="121" ht="15.75" customHeight="1">
      <c r="A121" s="1"/>
      <c r="B121" s="1"/>
      <c r="C121" s="1"/>
      <c r="D121" s="1"/>
      <c r="E121" s="1"/>
      <c r="F121" s="1"/>
      <c r="G121" s="1"/>
      <c r="H121" s="1"/>
      <c r="I121" s="1"/>
      <c r="J121" s="1"/>
      <c r="K121" s="1"/>
    </row>
    <row r="122" ht="15.75" customHeight="1">
      <c r="A122" s="1"/>
      <c r="B122" s="1"/>
      <c r="C122" s="1"/>
      <c r="D122" s="1"/>
      <c r="E122" s="1"/>
      <c r="F122" s="1"/>
      <c r="G122" s="1"/>
      <c r="H122" s="1"/>
      <c r="I122" s="1"/>
      <c r="J122" s="1"/>
      <c r="K122" s="1"/>
    </row>
    <row r="123" ht="15.75" customHeight="1">
      <c r="A123" s="1"/>
      <c r="B123" s="1"/>
      <c r="C123" s="1"/>
      <c r="D123" s="1"/>
      <c r="E123" s="1"/>
      <c r="F123" s="1"/>
      <c r="G123" s="1"/>
      <c r="H123" s="1"/>
      <c r="I123" s="1"/>
      <c r="J123" s="1"/>
      <c r="K123" s="1"/>
    </row>
    <row r="124" ht="15.75" customHeight="1">
      <c r="A124" s="1"/>
      <c r="B124" s="1"/>
      <c r="C124" s="1"/>
      <c r="D124" s="1"/>
      <c r="E124" s="1"/>
      <c r="F124" s="1"/>
      <c r="G124" s="1"/>
      <c r="H124" s="1"/>
      <c r="I124" s="1"/>
      <c r="J124" s="1"/>
      <c r="K124" s="1"/>
    </row>
    <row r="125" ht="15.75" customHeight="1">
      <c r="A125" s="1"/>
      <c r="B125" s="1"/>
      <c r="C125" s="1"/>
      <c r="D125" s="1"/>
      <c r="E125" s="1"/>
      <c r="F125" s="1"/>
      <c r="G125" s="1"/>
      <c r="H125" s="1"/>
      <c r="I125" s="1"/>
      <c r="J125" s="1"/>
      <c r="K125" s="1"/>
    </row>
    <row r="126" ht="15.75" customHeight="1">
      <c r="A126" s="1"/>
      <c r="B126" s="1"/>
      <c r="C126" s="1"/>
      <c r="D126" s="1"/>
      <c r="E126" s="1"/>
      <c r="F126" s="1"/>
      <c r="G126" s="1"/>
      <c r="H126" s="1"/>
      <c r="I126" s="1"/>
      <c r="J126" s="1"/>
      <c r="K126" s="1"/>
    </row>
    <row r="127" ht="15.75" customHeight="1">
      <c r="A127" s="1"/>
      <c r="B127" s="1"/>
      <c r="C127" s="1"/>
      <c r="D127" s="1"/>
      <c r="E127" s="1"/>
      <c r="F127" s="1"/>
      <c r="G127" s="1"/>
      <c r="H127" s="1"/>
      <c r="I127" s="1"/>
      <c r="J127" s="1"/>
      <c r="K127" s="1"/>
    </row>
    <row r="128" ht="15.75" customHeight="1">
      <c r="A128" s="1"/>
      <c r="B128" s="1"/>
      <c r="C128" s="1"/>
      <c r="D128" s="1"/>
      <c r="E128" s="1"/>
      <c r="F128" s="1"/>
      <c r="G128" s="1"/>
      <c r="H128" s="1"/>
      <c r="I128" s="1"/>
      <c r="J128" s="1"/>
      <c r="K128" s="1"/>
    </row>
    <row r="129" ht="15.75" customHeight="1">
      <c r="A129" s="1"/>
      <c r="B129" s="1"/>
      <c r="C129" s="1"/>
      <c r="D129" s="1"/>
      <c r="E129" s="1"/>
      <c r="F129" s="1"/>
      <c r="G129" s="1"/>
      <c r="H129" s="1"/>
      <c r="I129" s="1"/>
      <c r="J129" s="1"/>
      <c r="K129" s="1"/>
    </row>
    <row r="130" ht="15.75" customHeight="1">
      <c r="A130" s="1"/>
      <c r="B130" s="1"/>
      <c r="C130" s="1"/>
      <c r="D130" s="1"/>
      <c r="E130" s="1"/>
      <c r="F130" s="1"/>
      <c r="G130" s="1"/>
      <c r="H130" s="1"/>
      <c r="I130" s="1"/>
      <c r="J130" s="1"/>
      <c r="K130" s="1"/>
    </row>
    <row r="131" ht="15.75" customHeight="1">
      <c r="A131" s="1"/>
      <c r="B131" s="1"/>
      <c r="C131" s="1"/>
      <c r="D131" s="1"/>
      <c r="E131" s="1"/>
      <c r="F131" s="1"/>
      <c r="G131" s="1"/>
      <c r="H131" s="1"/>
      <c r="I131" s="1"/>
      <c r="J131" s="1"/>
      <c r="K131" s="1"/>
    </row>
    <row r="132" ht="15.75" customHeight="1">
      <c r="A132" s="1"/>
      <c r="B132" s="1"/>
      <c r="C132" s="1"/>
      <c r="D132" s="1"/>
      <c r="E132" s="1"/>
      <c r="F132" s="1"/>
      <c r="G132" s="1"/>
      <c r="H132" s="1"/>
      <c r="I132" s="1"/>
      <c r="J132" s="1"/>
      <c r="K132" s="1"/>
    </row>
    <row r="133" ht="15.75" customHeight="1">
      <c r="A133" s="1"/>
      <c r="B133" s="1"/>
      <c r="C133" s="1"/>
      <c r="D133" s="1"/>
      <c r="E133" s="1"/>
      <c r="F133" s="1"/>
      <c r="G133" s="1"/>
      <c r="H133" s="1"/>
      <c r="I133" s="1"/>
      <c r="J133" s="1"/>
      <c r="K133" s="1"/>
    </row>
    <row r="134" ht="15.75" customHeight="1">
      <c r="A134" s="1"/>
      <c r="B134" s="1"/>
      <c r="C134" s="1"/>
      <c r="D134" s="1"/>
      <c r="E134" s="1"/>
      <c r="F134" s="1"/>
      <c r="G134" s="1"/>
      <c r="H134" s="1"/>
      <c r="I134" s="1"/>
      <c r="J134" s="1"/>
      <c r="K134" s="1"/>
    </row>
    <row r="135" ht="15.75" customHeight="1">
      <c r="A135" s="1"/>
      <c r="B135" s="1"/>
      <c r="C135" s="1"/>
      <c r="D135" s="1"/>
      <c r="E135" s="1"/>
      <c r="F135" s="1"/>
      <c r="G135" s="1"/>
      <c r="H135" s="1"/>
      <c r="I135" s="1"/>
      <c r="J135" s="1"/>
      <c r="K135" s="1"/>
    </row>
    <row r="136" ht="15.75" customHeight="1">
      <c r="A136" s="1"/>
      <c r="B136" s="1"/>
      <c r="C136" s="1"/>
      <c r="D136" s="1"/>
      <c r="E136" s="1"/>
      <c r="F136" s="1"/>
      <c r="G136" s="1"/>
      <c r="H136" s="1"/>
      <c r="I136" s="1"/>
      <c r="J136" s="1"/>
      <c r="K136" s="1"/>
    </row>
    <row r="137" ht="15.75" customHeight="1">
      <c r="A137" s="1"/>
      <c r="B137" s="1"/>
      <c r="C137" s="1"/>
      <c r="D137" s="1"/>
      <c r="E137" s="1"/>
      <c r="F137" s="1"/>
      <c r="G137" s="1"/>
      <c r="H137" s="1"/>
      <c r="I137" s="1"/>
      <c r="J137" s="1"/>
      <c r="K137" s="1"/>
    </row>
    <row r="138" ht="15.75" customHeight="1">
      <c r="A138" s="1"/>
      <c r="B138" s="1"/>
      <c r="C138" s="1"/>
      <c r="D138" s="1"/>
      <c r="E138" s="1"/>
      <c r="F138" s="1"/>
      <c r="G138" s="1"/>
      <c r="H138" s="1"/>
      <c r="I138" s="1"/>
      <c r="J138" s="1"/>
      <c r="K138" s="1"/>
    </row>
    <row r="139" ht="15.75" customHeight="1">
      <c r="A139" s="1"/>
      <c r="B139" s="1"/>
      <c r="C139" s="1"/>
      <c r="D139" s="1"/>
      <c r="E139" s="1"/>
      <c r="F139" s="1"/>
      <c r="G139" s="1"/>
      <c r="H139" s="1"/>
      <c r="I139" s="1"/>
      <c r="J139" s="1"/>
      <c r="K139" s="1"/>
    </row>
    <row r="140" ht="15.75" customHeight="1">
      <c r="A140" s="1"/>
      <c r="B140" s="1"/>
      <c r="C140" s="1"/>
      <c r="D140" s="1"/>
      <c r="E140" s="1"/>
      <c r="F140" s="1"/>
      <c r="G140" s="1"/>
      <c r="H140" s="1"/>
      <c r="I140" s="1"/>
      <c r="J140" s="1"/>
      <c r="K140" s="1"/>
    </row>
    <row r="141" ht="15.75" customHeight="1">
      <c r="A141" s="1"/>
      <c r="B141" s="1"/>
      <c r="C141" s="1"/>
      <c r="D141" s="1"/>
      <c r="E141" s="1"/>
      <c r="F141" s="1"/>
      <c r="G141" s="1"/>
      <c r="H141" s="1"/>
      <c r="I141" s="1"/>
      <c r="J141" s="1"/>
      <c r="K141" s="1"/>
    </row>
    <row r="142" ht="15.75" customHeight="1">
      <c r="A142" s="1"/>
      <c r="B142" s="1"/>
      <c r="C142" s="1"/>
      <c r="D142" s="1"/>
      <c r="E142" s="1"/>
      <c r="F142" s="1"/>
      <c r="G142" s="1"/>
      <c r="H142" s="1"/>
      <c r="I142" s="1"/>
      <c r="J142" s="1"/>
      <c r="K142" s="1"/>
    </row>
    <row r="143" ht="15.75" customHeight="1">
      <c r="A143" s="1"/>
      <c r="B143" s="1"/>
      <c r="C143" s="1"/>
      <c r="D143" s="1"/>
      <c r="E143" s="1"/>
      <c r="F143" s="1"/>
      <c r="G143" s="1"/>
      <c r="H143" s="1"/>
      <c r="I143" s="1"/>
      <c r="J143" s="1"/>
      <c r="K143" s="1"/>
    </row>
    <row r="144" ht="15.75" customHeight="1">
      <c r="A144" s="1"/>
      <c r="B144" s="1"/>
      <c r="C144" s="1"/>
      <c r="D144" s="1"/>
      <c r="E144" s="1"/>
      <c r="F144" s="1"/>
      <c r="G144" s="1"/>
      <c r="H144" s="1"/>
      <c r="I144" s="1"/>
      <c r="J144" s="1"/>
      <c r="K144" s="1"/>
    </row>
    <row r="145" ht="15.75" customHeight="1">
      <c r="A145" s="1"/>
      <c r="B145" s="1"/>
      <c r="C145" s="1"/>
      <c r="D145" s="1"/>
      <c r="E145" s="1"/>
      <c r="F145" s="1"/>
      <c r="G145" s="1"/>
      <c r="H145" s="1"/>
      <c r="I145" s="1"/>
      <c r="J145" s="1"/>
      <c r="K145" s="1"/>
    </row>
    <row r="146" ht="15.75" customHeight="1">
      <c r="A146" s="1"/>
      <c r="B146" s="1"/>
      <c r="C146" s="1"/>
      <c r="D146" s="1"/>
      <c r="E146" s="1"/>
      <c r="F146" s="1"/>
      <c r="G146" s="1"/>
      <c r="H146" s="1"/>
      <c r="I146" s="1"/>
      <c r="J146" s="1"/>
      <c r="K146" s="1"/>
    </row>
    <row r="147" ht="15.75" customHeight="1">
      <c r="A147" s="1"/>
      <c r="B147" s="1"/>
      <c r="C147" s="1"/>
      <c r="D147" s="1"/>
      <c r="E147" s="1"/>
      <c r="F147" s="1"/>
      <c r="G147" s="1"/>
      <c r="H147" s="1"/>
      <c r="I147" s="1"/>
      <c r="J147" s="1"/>
      <c r="K147" s="1"/>
    </row>
    <row r="148" ht="15.75" customHeight="1">
      <c r="A148" s="1"/>
      <c r="B148" s="1"/>
      <c r="C148" s="1"/>
      <c r="D148" s="1"/>
      <c r="E148" s="1"/>
      <c r="F148" s="1"/>
      <c r="G148" s="1"/>
      <c r="H148" s="1"/>
      <c r="I148" s="1"/>
      <c r="J148" s="1"/>
      <c r="K148" s="1"/>
    </row>
    <row r="149" ht="15.75" customHeight="1">
      <c r="A149" s="1"/>
      <c r="B149" s="1"/>
      <c r="C149" s="1"/>
      <c r="D149" s="1"/>
      <c r="E149" s="1"/>
      <c r="F149" s="1"/>
      <c r="G149" s="1"/>
      <c r="H149" s="1"/>
      <c r="I149" s="1"/>
      <c r="J149" s="1"/>
      <c r="K149" s="1"/>
    </row>
    <row r="150" ht="15.75" customHeight="1">
      <c r="A150" s="1"/>
      <c r="B150" s="1"/>
      <c r="C150" s="1"/>
      <c r="D150" s="1"/>
      <c r="E150" s="1"/>
      <c r="F150" s="1"/>
      <c r="G150" s="1"/>
      <c r="H150" s="1"/>
      <c r="I150" s="1"/>
      <c r="J150" s="1"/>
      <c r="K150" s="1"/>
    </row>
    <row r="151" ht="15.75" customHeight="1">
      <c r="A151" s="1"/>
      <c r="B151" s="1"/>
      <c r="C151" s="1"/>
      <c r="D151" s="1"/>
      <c r="E151" s="1"/>
      <c r="F151" s="1"/>
      <c r="G151" s="1"/>
      <c r="H151" s="1"/>
      <c r="I151" s="1"/>
      <c r="J151" s="1"/>
      <c r="K151" s="1"/>
    </row>
    <row r="152" ht="15.75" customHeight="1">
      <c r="A152" s="1"/>
      <c r="B152" s="1"/>
      <c r="C152" s="1"/>
      <c r="D152" s="1"/>
      <c r="E152" s="1"/>
      <c r="F152" s="1"/>
      <c r="G152" s="1"/>
      <c r="H152" s="1"/>
      <c r="I152" s="1"/>
      <c r="J152" s="1"/>
      <c r="K152" s="1"/>
    </row>
    <row r="153" ht="15.75" customHeight="1">
      <c r="A153" s="1"/>
      <c r="B153" s="1"/>
      <c r="C153" s="1"/>
      <c r="D153" s="1"/>
      <c r="E153" s="1"/>
      <c r="F153" s="1"/>
      <c r="G153" s="1"/>
      <c r="H153" s="1"/>
      <c r="I153" s="1"/>
      <c r="J153" s="1"/>
      <c r="K153" s="1"/>
    </row>
    <row r="154" ht="15.75" customHeight="1">
      <c r="A154" s="1"/>
      <c r="B154" s="1"/>
      <c r="C154" s="1"/>
      <c r="D154" s="1"/>
      <c r="E154" s="1"/>
      <c r="F154" s="1"/>
      <c r="G154" s="1"/>
      <c r="H154" s="1"/>
      <c r="I154" s="1"/>
      <c r="J154" s="1"/>
      <c r="K154" s="1"/>
    </row>
    <row r="155" ht="15.75" customHeight="1">
      <c r="A155" s="1"/>
      <c r="B155" s="1"/>
      <c r="C155" s="1"/>
      <c r="D155" s="1"/>
      <c r="E155" s="1"/>
      <c r="F155" s="1"/>
      <c r="G155" s="1"/>
      <c r="H155" s="1"/>
      <c r="I155" s="1"/>
      <c r="J155" s="1"/>
      <c r="K155" s="1"/>
    </row>
    <row r="156" ht="15.75" customHeight="1">
      <c r="A156" s="1"/>
      <c r="B156" s="1"/>
      <c r="C156" s="1"/>
      <c r="D156" s="1"/>
      <c r="E156" s="1"/>
      <c r="F156" s="1"/>
      <c r="G156" s="1"/>
      <c r="H156" s="1"/>
      <c r="I156" s="1"/>
      <c r="J156" s="1"/>
      <c r="K156" s="1"/>
    </row>
    <row r="157" ht="15.75" customHeight="1">
      <c r="A157" s="1"/>
      <c r="B157" s="1"/>
      <c r="C157" s="1"/>
      <c r="D157" s="1"/>
      <c r="E157" s="1"/>
      <c r="F157" s="1"/>
      <c r="G157" s="1"/>
      <c r="H157" s="1"/>
      <c r="I157" s="1"/>
      <c r="J157" s="1"/>
      <c r="K157" s="1"/>
    </row>
    <row r="158" ht="15.75" customHeight="1">
      <c r="A158" s="1"/>
      <c r="B158" s="1"/>
      <c r="C158" s="1"/>
      <c r="D158" s="1"/>
      <c r="E158" s="1"/>
      <c r="F158" s="1"/>
      <c r="G158" s="1"/>
      <c r="H158" s="1"/>
      <c r="I158" s="1"/>
      <c r="J158" s="1"/>
      <c r="K158" s="1"/>
    </row>
    <row r="159" ht="15.75" customHeight="1">
      <c r="A159" s="1"/>
      <c r="B159" s="1"/>
      <c r="C159" s="1"/>
      <c r="D159" s="1"/>
      <c r="E159" s="1"/>
      <c r="F159" s="1"/>
      <c r="G159" s="1"/>
      <c r="H159" s="1"/>
      <c r="I159" s="1"/>
      <c r="J159" s="1"/>
      <c r="K159" s="1"/>
    </row>
    <row r="160" ht="15.75" customHeight="1">
      <c r="A160" s="1"/>
      <c r="B160" s="1"/>
      <c r="C160" s="1"/>
      <c r="D160" s="1"/>
      <c r="E160" s="1"/>
      <c r="F160" s="1"/>
      <c r="G160" s="1"/>
      <c r="H160" s="1"/>
      <c r="I160" s="1"/>
      <c r="J160" s="1"/>
      <c r="K160" s="1"/>
    </row>
    <row r="161" ht="15.75" customHeight="1">
      <c r="A161" s="1"/>
      <c r="B161" s="1"/>
      <c r="C161" s="1"/>
      <c r="D161" s="1"/>
      <c r="E161" s="1"/>
      <c r="F161" s="1"/>
      <c r="G161" s="1"/>
      <c r="H161" s="1"/>
      <c r="I161" s="1"/>
      <c r="J161" s="1"/>
      <c r="K161" s="1"/>
    </row>
    <row r="162" ht="15.75" customHeight="1">
      <c r="A162" s="1"/>
      <c r="B162" s="1"/>
      <c r="C162" s="1"/>
      <c r="D162" s="1"/>
      <c r="E162" s="1"/>
      <c r="F162" s="1"/>
      <c r="G162" s="1"/>
      <c r="H162" s="1"/>
      <c r="I162" s="1"/>
      <c r="J162" s="1"/>
      <c r="K162" s="1"/>
    </row>
    <row r="163" ht="15.75" customHeight="1">
      <c r="A163" s="1"/>
      <c r="B163" s="1"/>
      <c r="C163" s="1"/>
      <c r="D163" s="1"/>
      <c r="E163" s="1"/>
      <c r="F163" s="1"/>
      <c r="G163" s="1"/>
      <c r="H163" s="1"/>
      <c r="I163" s="1"/>
      <c r="J163" s="1"/>
      <c r="K163" s="1"/>
    </row>
    <row r="164" ht="15.75" customHeight="1">
      <c r="A164" s="1"/>
      <c r="B164" s="1"/>
      <c r="C164" s="1"/>
      <c r="D164" s="1"/>
      <c r="E164" s="1"/>
      <c r="F164" s="1"/>
      <c r="G164" s="1"/>
      <c r="H164" s="1"/>
      <c r="I164" s="1"/>
      <c r="J164" s="1"/>
      <c r="K164" s="1"/>
    </row>
    <row r="165" ht="15.75" customHeight="1">
      <c r="A165" s="1"/>
      <c r="B165" s="1"/>
      <c r="C165" s="1"/>
      <c r="D165" s="1"/>
      <c r="E165" s="1"/>
      <c r="F165" s="1"/>
      <c r="G165" s="1"/>
      <c r="H165" s="1"/>
      <c r="I165" s="1"/>
      <c r="J165" s="1"/>
      <c r="K165" s="1"/>
    </row>
    <row r="166" ht="15.75" customHeight="1">
      <c r="A166" s="1"/>
      <c r="B166" s="1"/>
      <c r="C166" s="1"/>
      <c r="D166" s="1"/>
      <c r="E166" s="1"/>
      <c r="F166" s="1"/>
      <c r="G166" s="1"/>
      <c r="H166" s="1"/>
      <c r="I166" s="1"/>
      <c r="J166" s="1"/>
      <c r="K166" s="1"/>
    </row>
    <row r="167" ht="15.75" customHeight="1">
      <c r="A167" s="1"/>
      <c r="B167" s="1"/>
      <c r="C167" s="1"/>
      <c r="D167" s="1"/>
      <c r="E167" s="1"/>
      <c r="F167" s="1"/>
      <c r="G167" s="1"/>
      <c r="H167" s="1"/>
      <c r="I167" s="1"/>
      <c r="J167" s="1"/>
      <c r="K167" s="1"/>
    </row>
    <row r="168" ht="15.75" customHeight="1">
      <c r="A168" s="1"/>
      <c r="B168" s="1"/>
      <c r="C168" s="1"/>
      <c r="D168" s="1"/>
      <c r="E168" s="1"/>
      <c r="F168" s="1"/>
      <c r="G168" s="1"/>
      <c r="H168" s="1"/>
      <c r="I168" s="1"/>
      <c r="J168" s="1"/>
      <c r="K168" s="1"/>
    </row>
    <row r="169" ht="15.75" customHeight="1">
      <c r="A169" s="1"/>
      <c r="B169" s="1"/>
      <c r="C169" s="1"/>
      <c r="D169" s="1"/>
      <c r="E169" s="1"/>
      <c r="F169" s="1"/>
      <c r="G169" s="1"/>
      <c r="H169" s="1"/>
      <c r="I169" s="1"/>
      <c r="J169" s="1"/>
      <c r="K169" s="1"/>
    </row>
    <row r="170" ht="15.75" customHeight="1">
      <c r="A170" s="1"/>
      <c r="B170" s="1"/>
      <c r="C170" s="1"/>
      <c r="D170" s="1"/>
      <c r="E170" s="1"/>
      <c r="F170" s="1"/>
      <c r="G170" s="1"/>
      <c r="H170" s="1"/>
      <c r="I170" s="1"/>
      <c r="J170" s="1"/>
      <c r="K170" s="1"/>
    </row>
    <row r="171" ht="15.75" customHeight="1">
      <c r="A171" s="1"/>
      <c r="B171" s="1"/>
      <c r="C171" s="1"/>
      <c r="D171" s="1"/>
      <c r="E171" s="1"/>
      <c r="F171" s="1"/>
      <c r="G171" s="1"/>
      <c r="H171" s="1"/>
      <c r="I171" s="1"/>
      <c r="J171" s="1"/>
      <c r="K171" s="1"/>
    </row>
    <row r="172" ht="15.75" customHeight="1">
      <c r="A172" s="1"/>
      <c r="B172" s="1"/>
      <c r="C172" s="1"/>
      <c r="D172" s="1"/>
      <c r="E172" s="1"/>
      <c r="F172" s="1"/>
      <c r="G172" s="1"/>
      <c r="H172" s="1"/>
      <c r="I172" s="1"/>
      <c r="J172" s="1"/>
      <c r="K172" s="1"/>
    </row>
    <row r="173" ht="15.75" customHeight="1">
      <c r="A173" s="1"/>
      <c r="B173" s="1"/>
      <c r="C173" s="1"/>
      <c r="D173" s="1"/>
      <c r="E173" s="1"/>
      <c r="F173" s="1"/>
      <c r="G173" s="1"/>
      <c r="H173" s="1"/>
      <c r="I173" s="1"/>
      <c r="J173" s="1"/>
      <c r="K173" s="1"/>
    </row>
    <row r="174" ht="15.75" customHeight="1">
      <c r="A174" s="1"/>
      <c r="B174" s="1"/>
      <c r="C174" s="1"/>
      <c r="D174" s="1"/>
      <c r="E174" s="1"/>
      <c r="F174" s="1"/>
      <c r="G174" s="1"/>
      <c r="H174" s="1"/>
      <c r="I174" s="1"/>
      <c r="J174" s="1"/>
      <c r="K174" s="1"/>
    </row>
    <row r="175" ht="15.75" customHeight="1">
      <c r="A175" s="1"/>
      <c r="B175" s="1"/>
      <c r="C175" s="1"/>
      <c r="D175" s="1"/>
      <c r="E175" s="1"/>
      <c r="F175" s="1"/>
      <c r="G175" s="1"/>
      <c r="H175" s="1"/>
      <c r="I175" s="1"/>
      <c r="J175" s="1"/>
      <c r="K175" s="1"/>
    </row>
    <row r="176" ht="15.75" customHeight="1">
      <c r="A176" s="1"/>
      <c r="B176" s="1"/>
      <c r="C176" s="1"/>
      <c r="D176" s="1"/>
      <c r="E176" s="1"/>
      <c r="F176" s="1"/>
      <c r="G176" s="1"/>
      <c r="H176" s="1"/>
      <c r="I176" s="1"/>
      <c r="J176" s="1"/>
      <c r="K176" s="1"/>
    </row>
    <row r="177" ht="15.75" customHeight="1">
      <c r="A177" s="1"/>
      <c r="B177" s="1"/>
      <c r="C177" s="1"/>
      <c r="D177" s="1"/>
      <c r="E177" s="1"/>
      <c r="F177" s="1"/>
      <c r="G177" s="1"/>
      <c r="H177" s="1"/>
      <c r="I177" s="1"/>
      <c r="J177" s="1"/>
      <c r="K177" s="1"/>
    </row>
    <row r="178" ht="15.75" customHeight="1">
      <c r="A178" s="1"/>
      <c r="B178" s="1"/>
      <c r="C178" s="1"/>
      <c r="D178" s="1"/>
      <c r="E178" s="1"/>
      <c r="F178" s="1"/>
      <c r="G178" s="1"/>
      <c r="H178" s="1"/>
      <c r="I178" s="1"/>
      <c r="J178" s="1"/>
      <c r="K178" s="1"/>
    </row>
    <row r="179" ht="15.75" customHeight="1">
      <c r="A179" s="1"/>
      <c r="B179" s="1"/>
      <c r="C179" s="1"/>
      <c r="D179" s="1"/>
      <c r="E179" s="1"/>
      <c r="F179" s="1"/>
      <c r="G179" s="1"/>
      <c r="H179" s="1"/>
      <c r="I179" s="1"/>
      <c r="J179" s="1"/>
      <c r="K179" s="1"/>
    </row>
    <row r="180" ht="15.75" customHeight="1">
      <c r="A180" s="1"/>
      <c r="B180" s="1"/>
      <c r="C180" s="1"/>
      <c r="D180" s="1"/>
      <c r="E180" s="1"/>
      <c r="F180" s="1"/>
      <c r="G180" s="1"/>
      <c r="H180" s="1"/>
      <c r="I180" s="1"/>
      <c r="J180" s="1"/>
      <c r="K180" s="1"/>
    </row>
    <row r="181" ht="15.75" customHeight="1">
      <c r="A181" s="1"/>
      <c r="B181" s="1"/>
      <c r="C181" s="1"/>
      <c r="D181" s="1"/>
      <c r="E181" s="1"/>
      <c r="F181" s="1"/>
      <c r="G181" s="1"/>
      <c r="H181" s="1"/>
      <c r="I181" s="1"/>
      <c r="J181" s="1"/>
      <c r="K181" s="1"/>
    </row>
    <row r="182" ht="15.75" customHeight="1">
      <c r="A182" s="1"/>
      <c r="B182" s="1"/>
      <c r="C182" s="1"/>
      <c r="D182" s="1"/>
      <c r="E182" s="1"/>
      <c r="F182" s="1"/>
      <c r="G182" s="1"/>
      <c r="H182" s="1"/>
      <c r="I182" s="1"/>
      <c r="J182" s="1"/>
      <c r="K182" s="1"/>
    </row>
    <row r="183" ht="15.75" customHeight="1">
      <c r="A183" s="1"/>
      <c r="B183" s="1"/>
      <c r="C183" s="1"/>
      <c r="D183" s="1"/>
      <c r="E183" s="1"/>
      <c r="F183" s="1"/>
      <c r="G183" s="1"/>
      <c r="H183" s="1"/>
      <c r="I183" s="1"/>
      <c r="J183" s="1"/>
      <c r="K183" s="1"/>
    </row>
    <row r="184" ht="15.75" customHeight="1">
      <c r="A184" s="1"/>
      <c r="B184" s="1"/>
      <c r="C184" s="1"/>
      <c r="D184" s="1"/>
      <c r="E184" s="1"/>
      <c r="F184" s="1"/>
      <c r="G184" s="1"/>
      <c r="H184" s="1"/>
      <c r="I184" s="1"/>
      <c r="J184" s="1"/>
      <c r="K184" s="1"/>
    </row>
    <row r="185" ht="15.75" customHeight="1">
      <c r="A185" s="1"/>
      <c r="B185" s="1"/>
      <c r="C185" s="1"/>
      <c r="D185" s="1"/>
      <c r="E185" s="1"/>
      <c r="F185" s="1"/>
      <c r="G185" s="1"/>
      <c r="H185" s="1"/>
      <c r="I185" s="1"/>
      <c r="J185" s="1"/>
      <c r="K185" s="1"/>
    </row>
    <row r="186" ht="15.75" customHeight="1">
      <c r="A186" s="1"/>
      <c r="B186" s="1"/>
      <c r="C186" s="1"/>
      <c r="D186" s="1"/>
      <c r="E186" s="1"/>
      <c r="F186" s="1"/>
      <c r="G186" s="1"/>
      <c r="H186" s="1"/>
      <c r="I186" s="1"/>
      <c r="J186" s="1"/>
      <c r="K186" s="1"/>
    </row>
    <row r="187" ht="15.75" customHeight="1">
      <c r="A187" s="1"/>
      <c r="B187" s="1"/>
      <c r="C187" s="1"/>
      <c r="D187" s="1"/>
      <c r="E187" s="1"/>
      <c r="F187" s="1"/>
      <c r="G187" s="1"/>
      <c r="H187" s="1"/>
      <c r="I187" s="1"/>
      <c r="J187" s="1"/>
      <c r="K187" s="1"/>
    </row>
    <row r="188" ht="15.75" customHeight="1">
      <c r="A188" s="1"/>
      <c r="B188" s="1"/>
      <c r="C188" s="1"/>
      <c r="D188" s="1"/>
      <c r="E188" s="1"/>
      <c r="F188" s="1"/>
      <c r="G188" s="1"/>
      <c r="H188" s="1"/>
      <c r="I188" s="1"/>
      <c r="J188" s="1"/>
      <c r="K188" s="1"/>
    </row>
    <row r="189" ht="15.75" customHeight="1">
      <c r="A189" s="1"/>
      <c r="B189" s="1"/>
      <c r="C189" s="1"/>
      <c r="D189" s="1"/>
      <c r="E189" s="1"/>
      <c r="F189" s="1"/>
      <c r="G189" s="1"/>
      <c r="H189" s="1"/>
      <c r="I189" s="1"/>
      <c r="J189" s="1"/>
      <c r="K189" s="1"/>
    </row>
    <row r="190" ht="15.75" customHeight="1">
      <c r="A190" s="1"/>
      <c r="B190" s="1"/>
      <c r="C190" s="1"/>
      <c r="D190" s="1"/>
      <c r="E190" s="1"/>
      <c r="F190" s="1"/>
      <c r="G190" s="1"/>
      <c r="H190" s="1"/>
      <c r="I190" s="1"/>
      <c r="J190" s="1"/>
      <c r="K190" s="1"/>
    </row>
    <row r="191" ht="15.75" customHeight="1">
      <c r="A191" s="1"/>
      <c r="B191" s="1"/>
      <c r="C191" s="1"/>
      <c r="D191" s="1"/>
      <c r="E191" s="1"/>
      <c r="F191" s="1"/>
      <c r="G191" s="1"/>
      <c r="H191" s="1"/>
      <c r="I191" s="1"/>
      <c r="J191" s="1"/>
      <c r="K191" s="1"/>
    </row>
    <row r="192" ht="15.75" customHeight="1">
      <c r="A192" s="1"/>
      <c r="B192" s="1"/>
      <c r="C192" s="1"/>
      <c r="D192" s="1"/>
      <c r="E192" s="1"/>
      <c r="F192" s="1"/>
      <c r="G192" s="1"/>
      <c r="H192" s="1"/>
      <c r="I192" s="1"/>
      <c r="J192" s="1"/>
      <c r="K192" s="1"/>
    </row>
    <row r="193" ht="15.75" customHeight="1">
      <c r="A193" s="1"/>
      <c r="B193" s="1"/>
      <c r="C193" s="1"/>
      <c r="D193" s="1"/>
      <c r="E193" s="1"/>
      <c r="F193" s="1"/>
      <c r="G193" s="1"/>
      <c r="H193" s="1"/>
      <c r="I193" s="1"/>
      <c r="J193" s="1"/>
      <c r="K193" s="1"/>
    </row>
    <row r="194" ht="15.75" customHeight="1">
      <c r="A194" s="1"/>
      <c r="B194" s="1"/>
      <c r="C194" s="1"/>
      <c r="D194" s="1"/>
      <c r="E194" s="1"/>
      <c r="F194" s="1"/>
      <c r="G194" s="1"/>
      <c r="H194" s="1"/>
      <c r="I194" s="1"/>
      <c r="J194" s="1"/>
      <c r="K194" s="1"/>
    </row>
    <row r="195" ht="15.75" customHeight="1">
      <c r="A195" s="1"/>
      <c r="B195" s="1"/>
      <c r="C195" s="1"/>
      <c r="D195" s="1"/>
      <c r="E195" s="1"/>
      <c r="F195" s="1"/>
      <c r="G195" s="1"/>
      <c r="H195" s="1"/>
      <c r="I195" s="1"/>
      <c r="J195" s="1"/>
      <c r="K195" s="1"/>
    </row>
    <row r="196" ht="15.75" customHeight="1">
      <c r="A196" s="1"/>
      <c r="B196" s="1"/>
      <c r="C196" s="1"/>
      <c r="D196" s="1"/>
      <c r="E196" s="1"/>
      <c r="F196" s="1"/>
      <c r="G196" s="1"/>
      <c r="H196" s="1"/>
      <c r="I196" s="1"/>
      <c r="J196" s="1"/>
      <c r="K196" s="1"/>
    </row>
    <row r="197" ht="15.75" customHeight="1">
      <c r="A197" s="1"/>
      <c r="B197" s="1"/>
      <c r="C197" s="1"/>
      <c r="D197" s="1"/>
      <c r="E197" s="1"/>
      <c r="F197" s="1"/>
      <c r="G197" s="1"/>
      <c r="H197" s="1"/>
      <c r="I197" s="1"/>
      <c r="J197" s="1"/>
      <c r="K197" s="1"/>
    </row>
    <row r="198" ht="15.75" customHeight="1">
      <c r="A198" s="1"/>
      <c r="B198" s="1"/>
      <c r="C198" s="1"/>
      <c r="D198" s="1"/>
      <c r="E198" s="1"/>
      <c r="F198" s="1"/>
      <c r="G198" s="1"/>
      <c r="H198" s="1"/>
      <c r="I198" s="1"/>
      <c r="J198" s="1"/>
      <c r="K198" s="1"/>
    </row>
    <row r="199" ht="15.75" customHeight="1">
      <c r="A199" s="1"/>
      <c r="B199" s="1"/>
      <c r="C199" s="1"/>
      <c r="D199" s="1"/>
      <c r="E199" s="1"/>
      <c r="F199" s="1"/>
      <c r="G199" s="1"/>
      <c r="H199" s="1"/>
      <c r="I199" s="1"/>
      <c r="J199" s="1"/>
      <c r="K199" s="1"/>
    </row>
    <row r="200" ht="15.75" customHeight="1">
      <c r="A200" s="1"/>
      <c r="B200" s="1"/>
      <c r="C200" s="1"/>
      <c r="D200" s="1"/>
      <c r="E200" s="1"/>
      <c r="F200" s="1"/>
      <c r="G200" s="1"/>
      <c r="H200" s="1"/>
      <c r="I200" s="1"/>
      <c r="J200" s="1"/>
      <c r="K200" s="1"/>
    </row>
    <row r="201" ht="15.75" customHeight="1">
      <c r="A201" s="1"/>
      <c r="B201" s="1"/>
      <c r="C201" s="1"/>
      <c r="D201" s="1"/>
      <c r="E201" s="1"/>
      <c r="F201" s="1"/>
      <c r="G201" s="1"/>
      <c r="H201" s="1"/>
      <c r="I201" s="1"/>
      <c r="J201" s="1"/>
      <c r="K201" s="1"/>
    </row>
    <row r="202" ht="15.75" customHeight="1">
      <c r="A202" s="1"/>
      <c r="B202" s="1"/>
      <c r="C202" s="1"/>
      <c r="D202" s="1"/>
      <c r="E202" s="1"/>
      <c r="F202" s="1"/>
      <c r="G202" s="1"/>
      <c r="H202" s="1"/>
      <c r="I202" s="1"/>
      <c r="J202" s="1"/>
      <c r="K202" s="1"/>
    </row>
    <row r="203" ht="15.75" customHeight="1">
      <c r="A203" s="1"/>
      <c r="B203" s="1"/>
      <c r="C203" s="1"/>
      <c r="D203" s="1"/>
      <c r="E203" s="1"/>
      <c r="F203" s="1"/>
      <c r="G203" s="1"/>
      <c r="H203" s="1"/>
      <c r="I203" s="1"/>
      <c r="J203" s="1"/>
      <c r="K203" s="1"/>
    </row>
    <row r="204" ht="15.75" customHeight="1">
      <c r="A204" s="1"/>
      <c r="B204" s="1"/>
      <c r="C204" s="1"/>
      <c r="D204" s="1"/>
      <c r="E204" s="1"/>
      <c r="F204" s="1"/>
      <c r="G204" s="1"/>
      <c r="H204" s="1"/>
      <c r="I204" s="1"/>
      <c r="J204" s="1"/>
      <c r="K204" s="1"/>
    </row>
    <row r="205" ht="15.75" customHeight="1">
      <c r="A205" s="1"/>
      <c r="B205" s="1"/>
      <c r="C205" s="1"/>
      <c r="D205" s="1"/>
      <c r="E205" s="1"/>
      <c r="F205" s="1"/>
      <c r="G205" s="1"/>
      <c r="H205" s="1"/>
      <c r="I205" s="1"/>
      <c r="J205" s="1"/>
      <c r="K205" s="1"/>
    </row>
    <row r="206" ht="15.75" customHeight="1">
      <c r="A206" s="1"/>
      <c r="B206" s="1"/>
      <c r="C206" s="1"/>
      <c r="D206" s="1"/>
      <c r="E206" s="1"/>
      <c r="F206" s="1"/>
      <c r="G206" s="1"/>
      <c r="H206" s="1"/>
      <c r="I206" s="1"/>
      <c r="J206" s="1"/>
      <c r="K206" s="1"/>
    </row>
    <row r="207" ht="15.75" customHeight="1">
      <c r="A207" s="1"/>
      <c r="B207" s="1"/>
      <c r="C207" s="1"/>
      <c r="D207" s="1"/>
      <c r="E207" s="1"/>
      <c r="F207" s="1"/>
      <c r="G207" s="1"/>
      <c r="H207" s="1"/>
      <c r="I207" s="1"/>
      <c r="J207" s="1"/>
      <c r="K207" s="1"/>
    </row>
    <row r="208" ht="15.75" customHeight="1">
      <c r="A208" s="1"/>
      <c r="B208" s="1"/>
      <c r="C208" s="1"/>
      <c r="D208" s="1"/>
      <c r="E208" s="1"/>
      <c r="F208" s="1"/>
      <c r="G208" s="1"/>
      <c r="H208" s="1"/>
      <c r="I208" s="1"/>
      <c r="J208" s="1"/>
      <c r="K208" s="1"/>
    </row>
    <row r="209" ht="15.75" customHeight="1">
      <c r="A209" s="1"/>
      <c r="B209" s="1"/>
      <c r="C209" s="1"/>
      <c r="D209" s="1"/>
      <c r="E209" s="1"/>
      <c r="F209" s="1"/>
      <c r="G209" s="1"/>
      <c r="H209" s="1"/>
      <c r="I209" s="1"/>
      <c r="J209" s="1"/>
      <c r="K209" s="1"/>
    </row>
    <row r="210" ht="15.75" customHeight="1">
      <c r="A210" s="1"/>
      <c r="B210" s="1"/>
      <c r="C210" s="1"/>
      <c r="D210" s="1"/>
      <c r="E210" s="1"/>
      <c r="F210" s="1"/>
      <c r="G210" s="1"/>
      <c r="H210" s="1"/>
      <c r="I210" s="1"/>
      <c r="J210" s="1"/>
      <c r="K210" s="1"/>
    </row>
    <row r="211" ht="15.75" customHeight="1">
      <c r="A211" s="1"/>
      <c r="B211" s="1"/>
      <c r="C211" s="1"/>
      <c r="D211" s="1"/>
      <c r="E211" s="1"/>
      <c r="F211" s="1"/>
      <c r="G211" s="1"/>
      <c r="H211" s="1"/>
      <c r="I211" s="1"/>
      <c r="J211" s="1"/>
      <c r="K211" s="1"/>
    </row>
    <row r="212" ht="15.75" customHeight="1">
      <c r="A212" s="1"/>
      <c r="B212" s="1"/>
      <c r="C212" s="1"/>
      <c r="D212" s="1"/>
      <c r="E212" s="1"/>
      <c r="F212" s="1"/>
      <c r="G212" s="1"/>
      <c r="H212" s="1"/>
      <c r="I212" s="1"/>
      <c r="J212" s="1"/>
      <c r="K212" s="1"/>
    </row>
    <row r="213" ht="15.75" customHeight="1">
      <c r="A213" s="1"/>
      <c r="B213" s="1"/>
      <c r="C213" s="1"/>
      <c r="D213" s="1"/>
      <c r="E213" s="1"/>
      <c r="F213" s="1"/>
      <c r="G213" s="1"/>
      <c r="H213" s="1"/>
      <c r="I213" s="1"/>
      <c r="J213" s="1"/>
      <c r="K213" s="1"/>
    </row>
    <row r="214" ht="15.75" customHeight="1">
      <c r="A214" s="1"/>
      <c r="B214" s="1"/>
      <c r="C214" s="1"/>
      <c r="D214" s="1"/>
      <c r="E214" s="1"/>
      <c r="F214" s="1"/>
      <c r="G214" s="1"/>
      <c r="H214" s="1"/>
      <c r="I214" s="1"/>
      <c r="J214" s="1"/>
      <c r="K214" s="1"/>
    </row>
    <row r="215" ht="15.75" customHeight="1">
      <c r="A215" s="1"/>
      <c r="B215" s="1"/>
      <c r="C215" s="1"/>
      <c r="D215" s="1"/>
      <c r="E215" s="1"/>
      <c r="F215" s="1"/>
      <c r="G215" s="1"/>
      <c r="H215" s="1"/>
      <c r="I215" s="1"/>
      <c r="J215" s="1"/>
      <c r="K215" s="1"/>
    </row>
    <row r="216" ht="15.75" customHeight="1">
      <c r="A216" s="1"/>
      <c r="B216" s="1"/>
      <c r="C216" s="1"/>
      <c r="D216" s="1"/>
      <c r="E216" s="1"/>
      <c r="F216" s="1"/>
      <c r="G216" s="1"/>
      <c r="H216" s="1"/>
      <c r="I216" s="1"/>
      <c r="J216" s="1"/>
      <c r="K216" s="1"/>
    </row>
    <row r="217" ht="15.75" customHeight="1">
      <c r="A217" s="1"/>
      <c r="B217" s="1"/>
      <c r="C217" s="1"/>
      <c r="D217" s="1"/>
      <c r="E217" s="1"/>
      <c r="F217" s="1"/>
      <c r="G217" s="1"/>
      <c r="H217" s="1"/>
      <c r="I217" s="1"/>
      <c r="J217" s="1"/>
      <c r="K217" s="1"/>
    </row>
    <row r="218" ht="15.75" customHeight="1">
      <c r="A218" s="1"/>
      <c r="B218" s="1"/>
      <c r="C218" s="1"/>
      <c r="D218" s="1"/>
      <c r="E218" s="1"/>
      <c r="F218" s="1"/>
      <c r="G218" s="1"/>
      <c r="H218" s="1"/>
      <c r="I218" s="1"/>
      <c r="J218" s="1"/>
      <c r="K218" s="1"/>
    </row>
    <row r="219" ht="15.75" customHeight="1">
      <c r="A219" s="1"/>
      <c r="B219" s="1"/>
      <c r="C219" s="1"/>
      <c r="D219" s="1"/>
      <c r="E219" s="1"/>
      <c r="F219" s="1"/>
      <c r="G219" s="1"/>
      <c r="H219" s="1"/>
      <c r="I219" s="1"/>
      <c r="J219" s="1"/>
      <c r="K219" s="1"/>
    </row>
    <row r="220" ht="15.75" customHeight="1">
      <c r="A220" s="1"/>
      <c r="B220" s="1"/>
      <c r="C220" s="1"/>
      <c r="D220" s="1"/>
      <c r="E220" s="1"/>
      <c r="F220" s="1"/>
      <c r="G220" s="1"/>
      <c r="H220" s="1"/>
      <c r="I220" s="1"/>
      <c r="J220" s="1"/>
      <c r="K220" s="1"/>
    </row>
    <row r="221" ht="15.75" customHeight="1">
      <c r="A221" s="1"/>
      <c r="B221" s="1"/>
      <c r="C221" s="1"/>
      <c r="D221" s="1"/>
      <c r="E221" s="1"/>
      <c r="F221" s="1"/>
      <c r="G221" s="1"/>
      <c r="H221" s="1"/>
      <c r="I221" s="1"/>
      <c r="J221" s="1"/>
      <c r="K221" s="1"/>
    </row>
    <row r="222" ht="15.75" customHeight="1">
      <c r="A222" s="1"/>
      <c r="B222" s="1"/>
      <c r="C222" s="1"/>
      <c r="D222" s="1"/>
      <c r="E222" s="1"/>
      <c r="F222" s="1"/>
      <c r="G222" s="1"/>
      <c r="H222" s="1"/>
      <c r="I222" s="1"/>
      <c r="J222" s="1"/>
      <c r="K222" s="1"/>
    </row>
    <row r="223" ht="15.75" customHeight="1">
      <c r="A223" s="1"/>
      <c r="B223" s="1"/>
      <c r="C223" s="1"/>
      <c r="D223" s="1"/>
      <c r="E223" s="1"/>
      <c r="F223" s="1"/>
      <c r="G223" s="1"/>
      <c r="H223" s="1"/>
      <c r="I223" s="1"/>
      <c r="J223" s="1"/>
      <c r="K223" s="1"/>
    </row>
    <row r="224" ht="15.75" customHeight="1">
      <c r="A224" s="1"/>
      <c r="B224" s="1"/>
      <c r="C224" s="1"/>
      <c r="D224" s="1"/>
      <c r="E224" s="1"/>
      <c r="F224" s="1"/>
      <c r="G224" s="1"/>
      <c r="H224" s="1"/>
      <c r="I224" s="1"/>
      <c r="J224" s="1"/>
      <c r="K224" s="1"/>
    </row>
    <row r="225" ht="15.75" customHeight="1">
      <c r="A225" s="1"/>
      <c r="B225" s="1"/>
      <c r="C225" s="1"/>
      <c r="D225" s="1"/>
      <c r="E225" s="1"/>
      <c r="F225" s="1"/>
      <c r="G225" s="1"/>
      <c r="H225" s="1"/>
      <c r="I225" s="1"/>
      <c r="J225" s="1"/>
      <c r="K225" s="1"/>
    </row>
    <row r="226" ht="15.75" customHeight="1">
      <c r="A226" s="1"/>
      <c r="B226" s="1"/>
      <c r="C226" s="1"/>
      <c r="D226" s="1"/>
      <c r="E226" s="1"/>
      <c r="F226" s="1"/>
      <c r="G226" s="1"/>
      <c r="H226" s="1"/>
      <c r="I226" s="1"/>
      <c r="J226" s="1"/>
      <c r="K226" s="1"/>
    </row>
    <row r="227" ht="15.75" customHeight="1">
      <c r="A227" s="1"/>
      <c r="B227" s="1"/>
      <c r="C227" s="1"/>
      <c r="D227" s="1"/>
      <c r="E227" s="1"/>
      <c r="F227" s="1"/>
      <c r="G227" s="1"/>
      <c r="H227" s="1"/>
      <c r="I227" s="1"/>
      <c r="J227" s="1"/>
      <c r="K227" s="1"/>
    </row>
    <row r="228" ht="15.75" customHeight="1">
      <c r="A228" s="1"/>
      <c r="B228" s="1"/>
      <c r="C228" s="1"/>
      <c r="D228" s="1"/>
      <c r="E228" s="1"/>
      <c r="F228" s="1"/>
      <c r="G228" s="1"/>
      <c r="H228" s="1"/>
      <c r="I228" s="1"/>
      <c r="J228" s="1"/>
      <c r="K228" s="1"/>
    </row>
    <row r="229" ht="15.75" customHeight="1">
      <c r="A229" s="1"/>
      <c r="B229" s="1"/>
      <c r="C229" s="1"/>
      <c r="D229" s="1"/>
      <c r="E229" s="1"/>
      <c r="F229" s="1"/>
      <c r="G229" s="1"/>
      <c r="H229" s="1"/>
      <c r="I229" s="1"/>
      <c r="J229" s="1"/>
      <c r="K229" s="1"/>
    </row>
    <row r="230" ht="15.75" customHeight="1">
      <c r="A230" s="1"/>
      <c r="B230" s="1"/>
      <c r="C230" s="1"/>
      <c r="D230" s="1"/>
      <c r="E230" s="1"/>
      <c r="F230" s="1"/>
      <c r="G230" s="1"/>
      <c r="H230" s="1"/>
      <c r="I230" s="1"/>
      <c r="J230" s="1"/>
      <c r="K230" s="1"/>
    </row>
    <row r="231" ht="15.75" customHeight="1">
      <c r="A231" s="1"/>
      <c r="B231" s="1"/>
      <c r="C231" s="1"/>
      <c r="D231" s="1"/>
      <c r="E231" s="1"/>
      <c r="F231" s="1"/>
      <c r="G231" s="1"/>
      <c r="H231" s="1"/>
      <c r="I231" s="1"/>
      <c r="J231" s="1"/>
      <c r="K231" s="1"/>
    </row>
    <row r="232" ht="15.75" customHeight="1">
      <c r="A232" s="1"/>
      <c r="B232" s="1"/>
      <c r="C232" s="1"/>
      <c r="D232" s="1"/>
      <c r="E232" s="1"/>
      <c r="F232" s="1"/>
      <c r="G232" s="1"/>
      <c r="H232" s="1"/>
      <c r="I232" s="1"/>
      <c r="J232" s="1"/>
      <c r="K232" s="1"/>
    </row>
    <row r="233" ht="15.75" customHeight="1">
      <c r="A233" s="1"/>
      <c r="B233" s="1"/>
      <c r="C233" s="1"/>
      <c r="D233" s="1"/>
      <c r="E233" s="1"/>
      <c r="F233" s="1"/>
      <c r="G233" s="1"/>
      <c r="H233" s="1"/>
      <c r="I233" s="1"/>
      <c r="J233" s="1"/>
      <c r="K233" s="1"/>
    </row>
    <row r="234" ht="15.75" customHeight="1">
      <c r="A234" s="1"/>
      <c r="B234" s="1"/>
      <c r="C234" s="1"/>
      <c r="D234" s="1"/>
      <c r="E234" s="1"/>
      <c r="F234" s="1"/>
      <c r="G234" s="1"/>
      <c r="H234" s="1"/>
      <c r="I234" s="1"/>
      <c r="J234" s="1"/>
      <c r="K234" s="1"/>
    </row>
    <row r="235" ht="15.75" customHeight="1">
      <c r="A235" s="1"/>
      <c r="B235" s="1"/>
      <c r="C235" s="1"/>
      <c r="D235" s="1"/>
      <c r="E235" s="1"/>
      <c r="F235" s="1"/>
      <c r="G235" s="1"/>
      <c r="H235" s="1"/>
      <c r="I235" s="1"/>
      <c r="J235" s="1"/>
      <c r="K235" s="1"/>
    </row>
    <row r="236" ht="15.75" customHeight="1">
      <c r="A236" s="1"/>
      <c r="B236" s="1"/>
      <c r="C236" s="1"/>
      <c r="D236" s="1"/>
      <c r="E236" s="1"/>
      <c r="F236" s="1"/>
      <c r="G236" s="1"/>
      <c r="H236" s="1"/>
      <c r="I236" s="1"/>
      <c r="J236" s="1"/>
      <c r="K236" s="1"/>
    </row>
    <row r="237" ht="15.75" customHeight="1">
      <c r="A237" s="1"/>
      <c r="B237" s="1"/>
      <c r="C237" s="1"/>
      <c r="D237" s="1"/>
      <c r="E237" s="1"/>
      <c r="F237" s="1"/>
      <c r="G237" s="1"/>
      <c r="H237" s="1"/>
      <c r="I237" s="1"/>
      <c r="J237" s="1"/>
      <c r="K237" s="1"/>
    </row>
    <row r="238" ht="15.75" customHeight="1">
      <c r="A238" s="1"/>
      <c r="B238" s="1"/>
      <c r="C238" s="1"/>
      <c r="D238" s="1"/>
      <c r="E238" s="1"/>
      <c r="F238" s="1"/>
      <c r="G238" s="1"/>
      <c r="H238" s="1"/>
      <c r="I238" s="1"/>
      <c r="J238" s="1"/>
      <c r="K238" s="1"/>
    </row>
    <row r="239" ht="15.75" customHeight="1">
      <c r="A239" s="1"/>
      <c r="B239" s="1"/>
      <c r="C239" s="1"/>
      <c r="D239" s="1"/>
      <c r="E239" s="1"/>
      <c r="F239" s="1"/>
      <c r="G239" s="1"/>
      <c r="H239" s="1"/>
      <c r="I239" s="1"/>
      <c r="J239" s="1"/>
      <c r="K239" s="1"/>
    </row>
    <row r="240" ht="15.75" customHeight="1">
      <c r="A240" s="1"/>
      <c r="B240" s="1"/>
      <c r="C240" s="1"/>
      <c r="D240" s="1"/>
      <c r="E240" s="1"/>
      <c r="F240" s="1"/>
      <c r="G240" s="1"/>
      <c r="H240" s="1"/>
      <c r="I240" s="1"/>
      <c r="J240" s="1"/>
      <c r="K240" s="1"/>
    </row>
    <row r="241" ht="15.75" customHeight="1">
      <c r="A241" s="1"/>
      <c r="B241" s="1"/>
      <c r="C241" s="1"/>
      <c r="D241" s="1"/>
      <c r="E241" s="1"/>
      <c r="F241" s="1"/>
      <c r="G241" s="1"/>
      <c r="H241" s="1"/>
      <c r="I241" s="1"/>
      <c r="J241" s="1"/>
      <c r="K241" s="1"/>
    </row>
    <row r="242" ht="15.75" customHeight="1">
      <c r="A242" s="1"/>
      <c r="B242" s="1"/>
      <c r="C242" s="1"/>
      <c r="D242" s="1"/>
      <c r="E242" s="1"/>
      <c r="F242" s="1"/>
      <c r="G242" s="1"/>
      <c r="H242" s="1"/>
      <c r="I242" s="1"/>
      <c r="J242" s="1"/>
      <c r="K242" s="1"/>
    </row>
    <row r="243" ht="15.75" customHeight="1">
      <c r="A243" s="1"/>
      <c r="B243" s="1"/>
      <c r="C243" s="1"/>
      <c r="D243" s="1"/>
      <c r="E243" s="1"/>
      <c r="F243" s="1"/>
      <c r="G243" s="1"/>
      <c r="H243" s="1"/>
      <c r="I243" s="1"/>
      <c r="J243" s="1"/>
      <c r="K243" s="1"/>
    </row>
    <row r="244" ht="15.75" customHeight="1">
      <c r="A244" s="1"/>
      <c r="B244" s="1"/>
      <c r="C244" s="1"/>
      <c r="D244" s="1"/>
      <c r="E244" s="1"/>
      <c r="F244" s="1"/>
      <c r="G244" s="1"/>
      <c r="H244" s="1"/>
      <c r="I244" s="1"/>
      <c r="J244" s="1"/>
      <c r="K244" s="1"/>
    </row>
    <row r="245" ht="15.75" customHeight="1">
      <c r="A245" s="1"/>
      <c r="B245" s="1"/>
      <c r="C245" s="1"/>
      <c r="D245" s="1"/>
      <c r="E245" s="1"/>
      <c r="F245" s="1"/>
      <c r="G245" s="1"/>
      <c r="H245" s="1"/>
      <c r="I245" s="1"/>
      <c r="J245" s="1"/>
      <c r="K245" s="1"/>
    </row>
    <row r="246" ht="15.75" customHeight="1">
      <c r="A246" s="1"/>
      <c r="B246" s="1"/>
      <c r="C246" s="1"/>
      <c r="D246" s="1"/>
      <c r="E246" s="1"/>
      <c r="F246" s="1"/>
      <c r="G246" s="1"/>
      <c r="H246" s="1"/>
      <c r="I246" s="1"/>
      <c r="J246" s="1"/>
      <c r="K246" s="1"/>
    </row>
    <row r="247" ht="15.75" customHeight="1">
      <c r="A247" s="1"/>
      <c r="B247" s="1"/>
      <c r="C247" s="1"/>
      <c r="D247" s="1"/>
      <c r="E247" s="1"/>
      <c r="F247" s="1"/>
      <c r="G247" s="1"/>
      <c r="H247" s="1"/>
      <c r="I247" s="1"/>
      <c r="J247" s="1"/>
      <c r="K247" s="1"/>
    </row>
    <row r="248" ht="15.75" customHeight="1">
      <c r="A248" s="1"/>
      <c r="B248" s="1"/>
      <c r="C248" s="1"/>
      <c r="D248" s="1"/>
      <c r="E248" s="1"/>
      <c r="F248" s="1"/>
      <c r="G248" s="1"/>
      <c r="H248" s="1"/>
      <c r="I248" s="1"/>
      <c r="J248" s="1"/>
      <c r="K248" s="1"/>
    </row>
    <row r="249" ht="15.75" customHeight="1">
      <c r="A249" s="1"/>
      <c r="B249" s="1"/>
      <c r="C249" s="1"/>
      <c r="D249" s="1"/>
      <c r="E249" s="1"/>
      <c r="F249" s="1"/>
      <c r="G249" s="1"/>
      <c r="H249" s="1"/>
      <c r="I249" s="1"/>
      <c r="J249" s="1"/>
      <c r="K249" s="1"/>
    </row>
    <row r="250" ht="15.75" customHeight="1">
      <c r="A250" s="1"/>
      <c r="B250" s="1"/>
      <c r="C250" s="1"/>
      <c r="D250" s="1"/>
      <c r="E250" s="1"/>
      <c r="F250" s="1"/>
      <c r="G250" s="1"/>
      <c r="H250" s="1"/>
      <c r="I250" s="1"/>
      <c r="J250" s="1"/>
      <c r="K250" s="1"/>
    </row>
    <row r="251" ht="15.75" customHeight="1">
      <c r="A251" s="1"/>
      <c r="B251" s="1"/>
      <c r="C251" s="1"/>
      <c r="D251" s="1"/>
      <c r="E251" s="1"/>
      <c r="F251" s="1"/>
      <c r="G251" s="1"/>
      <c r="H251" s="1"/>
      <c r="I251" s="1"/>
      <c r="J251" s="1"/>
      <c r="K251" s="1"/>
    </row>
    <row r="252" ht="15.75" customHeight="1">
      <c r="A252" s="1"/>
      <c r="B252" s="1"/>
      <c r="C252" s="1"/>
      <c r="D252" s="1"/>
      <c r="E252" s="1"/>
      <c r="F252" s="1"/>
      <c r="G252" s="1"/>
      <c r="H252" s="1"/>
      <c r="I252" s="1"/>
      <c r="J252" s="1"/>
      <c r="K252" s="1"/>
    </row>
    <row r="253" ht="15.75" customHeight="1">
      <c r="A253" s="1"/>
      <c r="B253" s="1"/>
      <c r="C253" s="1"/>
      <c r="D253" s="1"/>
      <c r="E253" s="1"/>
      <c r="F253" s="1"/>
      <c r="G253" s="1"/>
      <c r="H253" s="1"/>
      <c r="I253" s="1"/>
      <c r="J253" s="1"/>
      <c r="K253" s="1"/>
    </row>
    <row r="254" ht="15.75" customHeight="1">
      <c r="A254" s="1"/>
      <c r="B254" s="1"/>
      <c r="C254" s="1"/>
      <c r="D254" s="1"/>
      <c r="E254" s="1"/>
      <c r="F254" s="1"/>
      <c r="G254" s="1"/>
      <c r="H254" s="1"/>
      <c r="I254" s="1"/>
      <c r="J254" s="1"/>
      <c r="K254" s="1"/>
    </row>
    <row r="255" ht="15.75" customHeight="1">
      <c r="A255" s="1"/>
      <c r="B255" s="1"/>
      <c r="C255" s="1"/>
      <c r="D255" s="1"/>
      <c r="E255" s="1"/>
      <c r="F255" s="1"/>
      <c r="G255" s="1"/>
      <c r="H255" s="1"/>
      <c r="I255" s="1"/>
      <c r="J255" s="1"/>
      <c r="K255" s="1"/>
    </row>
    <row r="256" ht="15.75" customHeight="1">
      <c r="A256" s="1"/>
      <c r="B256" s="1"/>
      <c r="C256" s="1"/>
      <c r="D256" s="1"/>
      <c r="E256" s="1"/>
      <c r="F256" s="1"/>
      <c r="G256" s="1"/>
      <c r="H256" s="1"/>
      <c r="I256" s="1"/>
      <c r="J256" s="1"/>
      <c r="K256" s="1"/>
    </row>
    <row r="257" ht="15.75" customHeight="1">
      <c r="A257" s="1"/>
      <c r="B257" s="1"/>
      <c r="C257" s="1"/>
      <c r="D257" s="1"/>
      <c r="E257" s="1"/>
      <c r="F257" s="1"/>
      <c r="G257" s="1"/>
      <c r="H257" s="1"/>
      <c r="I257" s="1"/>
      <c r="J257" s="1"/>
      <c r="K257" s="1"/>
    </row>
    <row r="258" ht="15.75" customHeight="1">
      <c r="A258" s="1"/>
      <c r="B258" s="1"/>
      <c r="C258" s="1"/>
      <c r="D258" s="1"/>
      <c r="E258" s="1"/>
      <c r="F258" s="1"/>
      <c r="G258" s="1"/>
      <c r="H258" s="1"/>
      <c r="I258" s="1"/>
      <c r="J258" s="1"/>
      <c r="K258" s="1"/>
    </row>
    <row r="259" ht="15.75" customHeight="1">
      <c r="A259" s="1"/>
      <c r="B259" s="1"/>
      <c r="C259" s="1"/>
      <c r="D259" s="1"/>
      <c r="E259" s="1"/>
      <c r="F259" s="1"/>
      <c r="G259" s="1"/>
      <c r="H259" s="1"/>
      <c r="I259" s="1"/>
      <c r="J259" s="1"/>
      <c r="K259" s="1"/>
    </row>
    <row r="260" ht="15.75" customHeight="1">
      <c r="A260" s="1"/>
      <c r="B260" s="1"/>
      <c r="C260" s="1"/>
      <c r="D260" s="1"/>
      <c r="E260" s="1"/>
      <c r="F260" s="1"/>
      <c r="G260" s="1"/>
      <c r="H260" s="1"/>
      <c r="I260" s="1"/>
      <c r="J260" s="1"/>
      <c r="K260" s="1"/>
    </row>
    <row r="261" ht="15.75" customHeight="1">
      <c r="A261" s="1"/>
      <c r="B261" s="1"/>
      <c r="C261" s="1"/>
      <c r="D261" s="1"/>
      <c r="E261" s="1"/>
      <c r="F261" s="1"/>
      <c r="G261" s="1"/>
      <c r="H261" s="1"/>
      <c r="I261" s="1"/>
      <c r="J261" s="1"/>
      <c r="K261" s="1"/>
    </row>
    <row r="262" ht="15.75" customHeight="1">
      <c r="A262" s="1"/>
      <c r="B262" s="1"/>
      <c r="C262" s="1"/>
      <c r="D262" s="1"/>
      <c r="E262" s="1"/>
      <c r="F262" s="1"/>
      <c r="G262" s="1"/>
      <c r="H262" s="1"/>
      <c r="I262" s="1"/>
      <c r="J262" s="1"/>
      <c r="K262" s="1"/>
    </row>
    <row r="263" ht="15.75" customHeight="1">
      <c r="A263" s="1"/>
      <c r="B263" s="1"/>
      <c r="C263" s="1"/>
      <c r="D263" s="1"/>
      <c r="E263" s="1"/>
      <c r="F263" s="1"/>
      <c r="G263" s="1"/>
      <c r="H263" s="1"/>
      <c r="I263" s="1"/>
      <c r="J263" s="1"/>
      <c r="K263" s="1"/>
    </row>
    <row r="264" ht="15.75" customHeight="1">
      <c r="A264" s="1"/>
      <c r="B264" s="1"/>
      <c r="C264" s="1"/>
      <c r="D264" s="1"/>
      <c r="E264" s="1"/>
      <c r="F264" s="1"/>
      <c r="G264" s="1"/>
      <c r="H264" s="1"/>
      <c r="I264" s="1"/>
      <c r="J264" s="1"/>
      <c r="K264" s="1"/>
    </row>
    <row r="265" ht="15.75" customHeight="1">
      <c r="A265" s="1"/>
      <c r="B265" s="1"/>
      <c r="C265" s="1"/>
      <c r="D265" s="1"/>
      <c r="E265" s="1"/>
      <c r="F265" s="1"/>
      <c r="G265" s="1"/>
      <c r="H265" s="1"/>
      <c r="I265" s="1"/>
      <c r="J265" s="1"/>
      <c r="K265" s="1"/>
    </row>
    <row r="266" ht="15.75" customHeight="1">
      <c r="A266" s="1"/>
      <c r="B266" s="1"/>
      <c r="C266" s="1"/>
      <c r="D266" s="1"/>
      <c r="E266" s="1"/>
      <c r="F266" s="1"/>
      <c r="G266" s="1"/>
      <c r="H266" s="1"/>
      <c r="I266" s="1"/>
      <c r="J266" s="1"/>
      <c r="K266" s="1"/>
    </row>
    <row r="267" ht="15.75" customHeight="1">
      <c r="A267" s="1"/>
      <c r="B267" s="1"/>
      <c r="C267" s="1"/>
      <c r="D267" s="1"/>
      <c r="E267" s="1"/>
      <c r="F267" s="1"/>
      <c r="G267" s="1"/>
      <c r="H267" s="1"/>
      <c r="I267" s="1"/>
      <c r="J267" s="1"/>
      <c r="K267" s="1"/>
    </row>
    <row r="268" ht="15.75" customHeight="1">
      <c r="A268" s="1"/>
      <c r="B268" s="1"/>
      <c r="C268" s="1"/>
      <c r="D268" s="1"/>
      <c r="E268" s="1"/>
      <c r="F268" s="1"/>
      <c r="G268" s="1"/>
      <c r="H268" s="1"/>
      <c r="I268" s="1"/>
      <c r="J268" s="1"/>
      <c r="K268" s="1"/>
    </row>
    <row r="269" ht="15.75" customHeight="1">
      <c r="A269" s="1"/>
      <c r="B269" s="1"/>
      <c r="C269" s="1"/>
      <c r="D269" s="1"/>
      <c r="E269" s="1"/>
      <c r="F269" s="1"/>
      <c r="G269" s="1"/>
      <c r="H269" s="1"/>
      <c r="I269" s="1"/>
      <c r="J269" s="1"/>
      <c r="K269" s="1"/>
    </row>
    <row r="270" ht="15.75" customHeight="1">
      <c r="A270" s="1"/>
      <c r="B270" s="1"/>
      <c r="C270" s="1"/>
      <c r="D270" s="1"/>
      <c r="E270" s="1"/>
      <c r="F270" s="1"/>
      <c r="G270" s="1"/>
      <c r="H270" s="1"/>
      <c r="I270" s="1"/>
      <c r="J270" s="1"/>
      <c r="K270" s="1"/>
    </row>
    <row r="271" ht="15.75" customHeight="1">
      <c r="A271" s="1"/>
      <c r="B271" s="1"/>
      <c r="C271" s="1"/>
      <c r="D271" s="1"/>
      <c r="E271" s="1"/>
      <c r="F271" s="1"/>
      <c r="G271" s="1"/>
      <c r="H271" s="1"/>
      <c r="I271" s="1"/>
      <c r="J271" s="1"/>
      <c r="K271" s="1"/>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1:I1"/>
    <mergeCell ref="H4:I4"/>
    <mergeCell ref="H14:I16"/>
    <mergeCell ref="B69:H69"/>
    <mergeCell ref="B71:H71"/>
  </mergeCells>
  <conditionalFormatting sqref="B5:F39">
    <cfRule type="expression" dxfId="1" priority="1">
      <formula>$B5="Income"</formula>
    </cfRule>
  </conditionalFormatting>
  <conditionalFormatting sqref="B5:F39">
    <cfRule type="expression" dxfId="2" priority="2">
      <formula>$B5="Expense"</formula>
    </cfRule>
  </conditionalFormatting>
  <conditionalFormatting sqref="B5:F39">
    <cfRule type="expression" dxfId="3" priority="3">
      <formula>$B5="Taxes"</formula>
    </cfRule>
  </conditionalFormatting>
  <conditionalFormatting sqref="B5:F39">
    <cfRule type="expression" dxfId="4" priority="4">
      <formula>$B5="Investing"</formula>
    </cfRule>
  </conditionalFormatting>
  <conditionalFormatting sqref="B43:H67">
    <cfRule type="expression" dxfId="5" priority="5">
      <formula>$C43=""</formula>
    </cfRule>
  </conditionalFormatting>
  <conditionalFormatting sqref="I11">
    <cfRule type="cellIs" dxfId="6" priority="6" operator="greaterThanOrEqual">
      <formula>0</formula>
    </cfRule>
  </conditionalFormatting>
  <conditionalFormatting sqref="I11">
    <cfRule type="cellIs" dxfId="7" priority="7" operator="lessThan">
      <formula>0</formula>
    </cfRule>
  </conditionalFormatting>
  <conditionalFormatting sqref="D53">
    <cfRule type="expression" dxfId="6" priority="8">
      <formula>LEN(TRIM(D53))&gt;0</formula>
    </cfRule>
  </conditionalFormatting>
  <dataValidations>
    <dataValidation type="list" allowBlank="1" sqref="C5:C39">
      <formula1>Lists!$B$1:$B$21</formula1>
    </dataValidation>
    <dataValidation type="list" allowBlank="1" sqref="B5:B39">
      <formula1>Lists!$A$1:$A$4</formula1>
    </dataValidation>
    <dataValidation type="list" allowBlank="1" sqref="G43:G67">
      <formula1>Lists!$F$1:$F$2</formula1>
    </dataValidation>
    <dataValidation type="list" allowBlank="1" sqref="H43:H67">
      <formula1>Lists!$D$1:$D$2</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18E"/>
    <pageSetUpPr/>
  </sheetPr>
  <sheetViews>
    <sheetView showGridLines="0" workbookViewId="0"/>
  </sheetViews>
  <sheetFormatPr customHeight="1" defaultColWidth="14.43" defaultRowHeight="15.0"/>
  <cols>
    <col customWidth="1" min="1" max="1" width="3.0"/>
    <col customWidth="1" min="2" max="2" width="60.0"/>
    <col customWidth="1" min="3" max="3" width="20.0"/>
    <col customWidth="1" min="4" max="5" width="14.0"/>
    <col customWidth="1" min="6" max="6" width="10.0"/>
    <col customWidth="1" min="7" max="7" width="42.0"/>
  </cols>
  <sheetData>
    <row r="1" ht="19.5" customHeight="1">
      <c r="A1" s="1"/>
      <c r="B1" s="103" t="s">
        <v>113</v>
      </c>
      <c r="H1" s="1"/>
      <c r="I1" s="1"/>
    </row>
    <row r="2" ht="15.0" customHeight="1">
      <c r="A2" s="1"/>
      <c r="B2" s="1"/>
      <c r="C2" s="1"/>
      <c r="D2" s="1"/>
      <c r="E2" s="1"/>
      <c r="F2" s="1"/>
      <c r="G2" s="1"/>
      <c r="H2" s="1"/>
      <c r="I2" s="1"/>
    </row>
    <row r="3" ht="15.0" customHeight="1">
      <c r="A3" s="1"/>
      <c r="B3" s="5" t="s">
        <v>116</v>
      </c>
      <c r="H3" s="1"/>
      <c r="I3" s="1"/>
    </row>
    <row r="4" ht="15.0" customHeight="1">
      <c r="A4" s="1"/>
      <c r="B4" s="104" t="s">
        <v>118</v>
      </c>
      <c r="C4" s="107">
        <f>+'Budget Input'!I5</f>
        <v>7000</v>
      </c>
      <c r="D4" s="108"/>
      <c r="E4" s="1"/>
      <c r="F4" s="1"/>
      <c r="G4" s="1"/>
      <c r="H4" s="1"/>
      <c r="I4" s="1"/>
    </row>
    <row r="5" ht="15.0" customHeight="1">
      <c r="A5" s="1"/>
      <c r="B5" s="104" t="s">
        <v>119</v>
      </c>
      <c r="C5" s="109">
        <f>+'Budget Input'!I6</f>
        <v>3250</v>
      </c>
      <c r="D5" s="108"/>
      <c r="E5" s="1"/>
      <c r="F5" s="1"/>
      <c r="G5" s="1"/>
      <c r="H5" s="1"/>
      <c r="I5" s="1"/>
    </row>
    <row r="6" ht="15.0" customHeight="1">
      <c r="A6" s="1"/>
      <c r="B6" s="104" t="s">
        <v>121</v>
      </c>
      <c r="C6" s="112">
        <f>+'Budget Input'!I11</f>
        <v>79.66666667</v>
      </c>
      <c r="D6" s="108"/>
      <c r="E6" s="1"/>
      <c r="F6" s="1"/>
      <c r="G6" s="1"/>
      <c r="H6" s="1"/>
      <c r="I6" s="1"/>
    </row>
    <row r="7" ht="15.0" customHeight="1">
      <c r="A7" s="1"/>
      <c r="B7" s="104" t="s">
        <v>124</v>
      </c>
      <c r="C7" s="113">
        <f>+'Budget Input'!I12</f>
        <v>0.2285714286</v>
      </c>
      <c r="D7" s="108"/>
      <c r="E7" s="1"/>
      <c r="F7" s="1"/>
      <c r="G7" s="114"/>
      <c r="H7" s="1"/>
      <c r="I7" s="1"/>
    </row>
    <row r="8" ht="15.0" customHeight="1">
      <c r="A8" s="1"/>
      <c r="B8" s="1"/>
      <c r="C8" s="1"/>
      <c r="D8" s="1"/>
      <c r="E8" s="1"/>
      <c r="F8" s="1"/>
      <c r="G8" s="1"/>
      <c r="H8" s="1"/>
      <c r="I8" s="1"/>
    </row>
    <row r="9" ht="15.0" customHeight="1">
      <c r="A9" s="1"/>
      <c r="B9" s="5" t="s">
        <v>125</v>
      </c>
      <c r="H9" s="1"/>
      <c r="I9" s="1"/>
    </row>
    <row r="10" ht="15.0" customHeight="1">
      <c r="A10" s="1"/>
      <c r="B10" s="115" t="s">
        <v>126</v>
      </c>
      <c r="C10" s="115" t="s">
        <v>127</v>
      </c>
      <c r="D10" s="115" t="s">
        <v>128</v>
      </c>
      <c r="E10" s="115" t="s">
        <v>129</v>
      </c>
      <c r="F10" s="115" t="s">
        <v>130</v>
      </c>
      <c r="G10" s="115" t="s">
        <v>131</v>
      </c>
      <c r="H10" s="1"/>
      <c r="I10" s="1"/>
    </row>
    <row r="11" ht="15.0" customHeight="1">
      <c r="A11" s="1"/>
      <c r="B11" s="13" t="s">
        <v>39</v>
      </c>
      <c r="C11" s="116">
        <f>SUMIFS('Budget Input'!$D$5:$D$39,'Budget Input'!$B$5:$B$39,"Expense",'Budget Input'!$C$5:$C$39,B11)</f>
        <v>1900</v>
      </c>
      <c r="D11" s="117">
        <f t="shared" ref="D11:D19" si="1">IFERROR(C11/$C$4,0)</f>
        <v>0.2714285714</v>
      </c>
      <c r="E11" s="118">
        <v>0.3</v>
      </c>
      <c r="F11" s="119" t="s">
        <v>135</v>
      </c>
      <c r="G11" s="120" t="str">
        <f t="shared" ref="G11:G19" si="2">IF(E11="","—",IF(F11="Max",IF(D11&lt;=E11,"OK - within recommended range","Above recommended - consider reducing"),IF(D11&gt;=E11,"OK - meeting target","Below recommended - consider increasing")))</f>
        <v>OK - within recommended range</v>
      </c>
      <c r="H11" s="1"/>
      <c r="I11" s="1"/>
    </row>
    <row r="12" ht="15.0" customHeight="1">
      <c r="A12" s="1"/>
      <c r="B12" s="13" t="s">
        <v>47</v>
      </c>
      <c r="C12" s="116">
        <f>SUMIFS('Budget Input'!$D$5:$D$39,'Budget Input'!$B$5:$B$39,"Expense",'Budget Input'!$C$5:$C$39,B12)</f>
        <v>300</v>
      </c>
      <c r="D12" s="117">
        <f t="shared" si="1"/>
        <v>0.04285714286</v>
      </c>
      <c r="E12" s="118">
        <v>0.15</v>
      </c>
      <c r="F12" s="119" t="s">
        <v>135</v>
      </c>
      <c r="G12" s="120" t="str">
        <f t="shared" si="2"/>
        <v>OK - within recommended range</v>
      </c>
      <c r="H12" s="1"/>
      <c r="I12" s="1"/>
    </row>
    <row r="13" ht="15.0" customHeight="1">
      <c r="A13" s="1"/>
      <c r="B13" s="13" t="s">
        <v>57</v>
      </c>
      <c r="C13" s="116">
        <f>SUMIFS('Budget Input'!$D$5:$D$39,'Budget Input'!$B$5:$B$39,"Expense",'Budget Input'!$C$5:$C$39,B13)</f>
        <v>300</v>
      </c>
      <c r="D13" s="117">
        <f t="shared" si="1"/>
        <v>0.04285714286</v>
      </c>
      <c r="E13" s="118">
        <v>0.15</v>
      </c>
      <c r="F13" s="119" t="s">
        <v>135</v>
      </c>
      <c r="G13" s="120" t="str">
        <f t="shared" si="2"/>
        <v>OK - within recommended range</v>
      </c>
      <c r="H13" s="1"/>
      <c r="I13" s="1"/>
    </row>
    <row r="14" ht="15.0" customHeight="1">
      <c r="A14" s="1"/>
      <c r="B14" s="13" t="s">
        <v>59</v>
      </c>
      <c r="C14" s="116">
        <f>SUMIFS('Budget Input'!$D$5:$D$39,'Budget Input'!$B$5:$B$39,"Expense",'Budget Input'!$C$5:$C$39,B14)</f>
        <v>400</v>
      </c>
      <c r="D14" s="117">
        <f t="shared" si="1"/>
        <v>0.05714285714</v>
      </c>
      <c r="E14" s="118">
        <v>0.1</v>
      </c>
      <c r="F14" s="119" t="s">
        <v>135</v>
      </c>
      <c r="G14" s="120" t="str">
        <f t="shared" si="2"/>
        <v>OK - within recommended range</v>
      </c>
      <c r="H14" s="1"/>
      <c r="I14" s="1"/>
    </row>
    <row r="15" ht="15.0" customHeight="1">
      <c r="A15" s="1"/>
      <c r="B15" s="13" t="s">
        <v>64</v>
      </c>
      <c r="C15" s="116">
        <f>SUMIFS('Budget Input'!$D$5:$D$39,'Budget Input'!$B$5:$B$39,"Expense",'Budget Input'!$C$5:$C$39,B15)</f>
        <v>250</v>
      </c>
      <c r="D15" s="117">
        <f t="shared" si="1"/>
        <v>0.03571428571</v>
      </c>
      <c r="E15" s="118">
        <v>0.1</v>
      </c>
      <c r="F15" s="119" t="s">
        <v>135</v>
      </c>
      <c r="G15" s="120" t="str">
        <f t="shared" si="2"/>
        <v>OK - within recommended range</v>
      </c>
      <c r="H15" s="1"/>
      <c r="I15" s="1"/>
    </row>
    <row r="16" ht="15.0" customHeight="1">
      <c r="A16" s="1"/>
      <c r="B16" s="13" t="s">
        <v>117</v>
      </c>
      <c r="C16" s="116">
        <f>'Debt Payoff'!M7</f>
        <v>350</v>
      </c>
      <c r="D16" s="117">
        <f t="shared" si="1"/>
        <v>0.05</v>
      </c>
      <c r="E16" s="118">
        <v>0.15</v>
      </c>
      <c r="F16" s="119" t="s">
        <v>135</v>
      </c>
      <c r="G16" s="120" t="str">
        <f t="shared" si="2"/>
        <v>OK - within recommended range</v>
      </c>
      <c r="H16" s="1"/>
      <c r="I16" s="1"/>
    </row>
    <row r="17" ht="15.0" customHeight="1">
      <c r="A17" s="1"/>
      <c r="B17" s="13" t="s">
        <v>136</v>
      </c>
      <c r="C17" s="116">
        <f>+'Budget Input'!I10</f>
        <v>20.33333333</v>
      </c>
      <c r="D17" s="117">
        <f t="shared" si="1"/>
        <v>0.002904761905</v>
      </c>
      <c r="E17" s="118">
        <v>0.05</v>
      </c>
      <c r="F17" s="119" t="s">
        <v>135</v>
      </c>
      <c r="G17" s="120" t="str">
        <f t="shared" si="2"/>
        <v>OK - within recommended range</v>
      </c>
      <c r="H17" s="1"/>
      <c r="I17" s="1"/>
    </row>
    <row r="18" ht="15.0" customHeight="1">
      <c r="A18" s="1"/>
      <c r="B18" s="13" t="s">
        <v>74</v>
      </c>
      <c r="C18" s="116">
        <f>SUMIFS('Budget Input'!$D$5:$D$39,'Budget Input'!$B$5:$B$39,"Expense",'Budget Input'!$C$5:$C$39,B18)</f>
        <v>100</v>
      </c>
      <c r="D18" s="117">
        <f t="shared" si="1"/>
        <v>0.01428571429</v>
      </c>
      <c r="E18" s="118">
        <v>0.1</v>
      </c>
      <c r="F18" s="119" t="s">
        <v>135</v>
      </c>
      <c r="G18" s="120" t="str">
        <f t="shared" si="2"/>
        <v>OK - within recommended range</v>
      </c>
      <c r="H18" s="1"/>
      <c r="I18" s="1"/>
    </row>
    <row r="19" ht="15.0" customHeight="1">
      <c r="A19" s="1"/>
      <c r="B19" s="13" t="s">
        <v>137</v>
      </c>
      <c r="C19" s="116">
        <f>SUMIFS('Budget Input'!$D$5:$D$39,'Budget Input'!$B$5:$B$39,"Expense",'Budget Input'!$C$5:$C$39,B19)</f>
        <v>0</v>
      </c>
      <c r="D19" s="117">
        <f t="shared" si="1"/>
        <v>0</v>
      </c>
      <c r="E19" s="118">
        <v>0.02</v>
      </c>
      <c r="F19" s="119" t="s">
        <v>135</v>
      </c>
      <c r="G19" s="120" t="str">
        <f t="shared" si="2"/>
        <v>OK - within recommended range</v>
      </c>
      <c r="H19" s="1"/>
      <c r="I19" s="1"/>
    </row>
    <row r="20" ht="15.75" customHeight="1">
      <c r="A20" s="1"/>
      <c r="B20" s="1"/>
      <c r="C20" s="1"/>
      <c r="D20" s="1"/>
      <c r="E20" s="1"/>
      <c r="F20" s="1"/>
      <c r="G20" s="1"/>
      <c r="H20" s="1"/>
      <c r="I20" s="1"/>
    </row>
    <row r="21" ht="15.75" customHeight="1">
      <c r="A21" s="1"/>
      <c r="B21" s="5" t="s">
        <v>138</v>
      </c>
      <c r="H21" s="1"/>
      <c r="I21" s="1"/>
    </row>
    <row r="22" ht="15.75" customHeight="1">
      <c r="A22" s="1"/>
      <c r="B22" s="13" t="s">
        <v>139</v>
      </c>
      <c r="C22" s="121">
        <f>+'Budget Input'!I10</f>
        <v>20.33333333</v>
      </c>
      <c r="D22" s="1"/>
      <c r="E22" s="1"/>
      <c r="F22" s="1"/>
      <c r="G22" s="1"/>
      <c r="H22" s="1"/>
      <c r="I22" s="1"/>
    </row>
    <row r="23" ht="15.75" customHeight="1">
      <c r="A23" s="1"/>
      <c r="B23" s="13" t="s">
        <v>142</v>
      </c>
      <c r="C23" s="122">
        <f>C22*12</f>
        <v>244</v>
      </c>
      <c r="D23" s="1"/>
      <c r="E23" s="1"/>
      <c r="F23" s="1"/>
      <c r="G23" s="1"/>
      <c r="H23" s="1"/>
      <c r="I23" s="1"/>
    </row>
    <row r="24" ht="15.75" customHeight="1">
      <c r="A24" s="1"/>
      <c r="B24" s="35" t="s">
        <v>143</v>
      </c>
      <c r="C24" s="123">
        <f>COUNTIF('Budget Input'!F43:F67,"&gt;0")</f>
        <v>3</v>
      </c>
      <c r="D24" s="1"/>
      <c r="E24" s="1"/>
      <c r="F24" s="1"/>
      <c r="G24" s="1"/>
      <c r="H24" s="1"/>
      <c r="I24" s="1"/>
    </row>
    <row r="25" ht="30.0" customHeight="1">
      <c r="A25" s="1"/>
      <c r="B25" s="56" t="s">
        <v>147</v>
      </c>
      <c r="C25" s="124" t="str">
        <f>IF(C24&gt;8,"You have many active subscriptions - this is a great place to look for quick savings.",IF(C24&gt;4,"You have a moderate number of subscriptions - worth a periodic review.","Lean subscription list - nice work."))</f>
        <v>Lean subscription list - nice work.</v>
      </c>
      <c r="D25" s="54"/>
      <c r="E25" s="54"/>
      <c r="F25" s="54"/>
      <c r="G25" s="55"/>
      <c r="H25" s="1"/>
      <c r="I25" s="1"/>
    </row>
    <row r="26" ht="15.75" customHeight="1">
      <c r="A26" s="1"/>
      <c r="B26" s="1"/>
      <c r="C26" s="1"/>
      <c r="D26" s="1"/>
      <c r="E26" s="1"/>
      <c r="F26" s="1"/>
      <c r="G26" s="1"/>
      <c r="H26" s="1"/>
      <c r="I26" s="1"/>
    </row>
    <row r="27" ht="15.75" customHeight="1">
      <c r="A27" s="1"/>
      <c r="B27" s="5" t="s">
        <v>149</v>
      </c>
      <c r="H27" s="1"/>
      <c r="I27" s="1"/>
    </row>
    <row r="28" ht="30.0" customHeight="1">
      <c r="A28" s="1"/>
      <c r="B28" s="13" t="s">
        <v>150</v>
      </c>
      <c r="C28" s="125" t="str">
        <f>IF(C6&lt;0,"You are spending more than you earn. Consider reducing expenses or increasing income.",IF(IFERROR(C6/C4,0)&lt;0.1,"You have a small surplus. Building a bigger buffer could help with unexpected expenses.","Healthy surplus - you are earning more than you spend each month."))</f>
        <v>You have a small surplus. Building a bigger buffer could help with unexpected expenses.</v>
      </c>
      <c r="D28" s="126"/>
      <c r="E28" s="126"/>
      <c r="F28" s="126"/>
      <c r="G28" s="108"/>
      <c r="H28" s="1"/>
      <c r="I28" s="1"/>
    </row>
    <row r="29" ht="30.0" customHeight="1">
      <c r="A29" s="1"/>
      <c r="B29" s="13" t="s">
        <v>151</v>
      </c>
      <c r="C29" s="125" t="str">
        <f>IF(C7&gt;=0.2,"Great! You are investing 20% or more of your income, a widely recommended target.",IF(C7&gt;=0.1,"You are investing between 10-20% of your income. Consider increasing this over time.","You are investing less than 10% of your income. Consider prioritizing savings/investing if possible."))</f>
        <v>Great! You are investing 20% or more of your income, a widely recommended target.</v>
      </c>
      <c r="D29" s="126"/>
      <c r="E29" s="126"/>
      <c r="F29" s="126"/>
      <c r="G29" s="108"/>
      <c r="H29" s="1"/>
      <c r="I29" s="1"/>
    </row>
    <row r="30" ht="15.75" customHeight="1">
      <c r="A30" s="1"/>
      <c r="B30" s="1"/>
      <c r="C30" s="1"/>
      <c r="D30" s="1"/>
      <c r="E30" s="1"/>
      <c r="F30" s="1"/>
      <c r="G30" s="1"/>
      <c r="H30" s="1"/>
      <c r="I30" s="1"/>
    </row>
    <row r="31" ht="15.75" customHeight="1">
      <c r="A31" s="1"/>
      <c r="B31" s="127" t="s">
        <v>152</v>
      </c>
      <c r="H31" s="1"/>
      <c r="I31" s="1"/>
    </row>
    <row r="32" ht="15.75" customHeight="1">
      <c r="A32" s="1"/>
      <c r="B32" s="128" t="s">
        <v>153</v>
      </c>
      <c r="C32" s="126"/>
      <c r="D32" s="126"/>
      <c r="E32" s="126"/>
      <c r="F32" s="126"/>
      <c r="G32" s="108"/>
      <c r="H32" s="1"/>
      <c r="I32" s="1"/>
    </row>
    <row r="33" ht="15.75" customHeight="1">
      <c r="A33" s="1"/>
      <c r="B33" s="1"/>
      <c r="C33" s="1"/>
      <c r="D33" s="1"/>
      <c r="E33" s="1"/>
      <c r="F33" s="1"/>
      <c r="G33" s="1"/>
      <c r="H33" s="1"/>
      <c r="I33" s="1"/>
    </row>
    <row r="34" ht="15.75" customHeight="1">
      <c r="A34" s="1"/>
      <c r="B34" s="1"/>
      <c r="C34" s="1"/>
      <c r="D34" s="1"/>
      <c r="E34" s="1"/>
      <c r="F34" s="1"/>
      <c r="G34" s="1"/>
      <c r="H34" s="1"/>
      <c r="I34" s="1"/>
    </row>
    <row r="35" ht="15.75" customHeight="1">
      <c r="A35" s="1"/>
      <c r="B35" s="1"/>
      <c r="C35" s="1"/>
      <c r="D35" s="1"/>
      <c r="E35" s="1"/>
      <c r="F35" s="1"/>
      <c r="G35" s="1"/>
      <c r="H35" s="1"/>
      <c r="I35" s="1"/>
    </row>
    <row r="36" ht="15.75" customHeight="1">
      <c r="A36" s="1"/>
      <c r="B36" s="1"/>
      <c r="C36" s="1"/>
      <c r="D36" s="1"/>
      <c r="E36" s="1"/>
      <c r="F36" s="1"/>
      <c r="G36" s="1"/>
      <c r="H36" s="1"/>
      <c r="I36" s="1"/>
    </row>
    <row r="37" ht="15.75" customHeight="1">
      <c r="A37" s="1"/>
      <c r="B37" s="1"/>
      <c r="C37" s="1"/>
      <c r="D37" s="1"/>
      <c r="E37" s="1"/>
      <c r="F37" s="1"/>
      <c r="G37" s="1"/>
      <c r="H37" s="1"/>
      <c r="I37" s="1"/>
    </row>
    <row r="38" ht="15.75" customHeight="1">
      <c r="A38" s="1"/>
      <c r="B38" s="1"/>
      <c r="C38" s="1"/>
      <c r="D38" s="1"/>
      <c r="E38" s="1"/>
      <c r="F38" s="1"/>
      <c r="G38" s="1"/>
      <c r="H38" s="1"/>
      <c r="I38" s="1"/>
    </row>
    <row r="39" ht="15.75" customHeight="1">
      <c r="A39" s="1"/>
      <c r="B39" s="1"/>
      <c r="C39" s="1"/>
      <c r="D39" s="1"/>
      <c r="E39" s="1"/>
      <c r="F39" s="1"/>
      <c r="G39" s="1"/>
      <c r="H39" s="1"/>
      <c r="I39" s="1"/>
    </row>
    <row r="40" ht="15.75" customHeight="1">
      <c r="A40" s="1"/>
      <c r="B40" s="1"/>
      <c r="C40" s="1"/>
      <c r="D40" s="1"/>
      <c r="E40" s="1"/>
      <c r="F40" s="1"/>
      <c r="G40" s="1"/>
      <c r="H40" s="1"/>
      <c r="I40" s="1"/>
    </row>
    <row r="41" ht="15.75" customHeight="1">
      <c r="A41" s="1"/>
      <c r="B41" s="1"/>
      <c r="C41" s="1"/>
      <c r="D41" s="1"/>
      <c r="E41" s="1"/>
      <c r="F41" s="1"/>
      <c r="G41" s="1"/>
      <c r="H41" s="1"/>
      <c r="I41" s="1"/>
    </row>
    <row r="42" ht="15.75" customHeight="1">
      <c r="A42" s="1"/>
      <c r="B42" s="1"/>
      <c r="C42" s="1"/>
      <c r="D42" s="1"/>
      <c r="E42" s="1"/>
      <c r="F42" s="1"/>
      <c r="G42" s="1"/>
      <c r="H42" s="1"/>
      <c r="I42" s="1"/>
    </row>
    <row r="43" ht="15.75" customHeight="1">
      <c r="A43" s="1"/>
      <c r="B43" s="1"/>
      <c r="C43" s="1"/>
      <c r="D43" s="1"/>
      <c r="E43" s="1"/>
      <c r="F43" s="1"/>
      <c r="G43" s="1"/>
      <c r="H43" s="1"/>
      <c r="I43" s="1"/>
    </row>
    <row r="44" ht="15.75" customHeight="1">
      <c r="A44" s="1"/>
      <c r="B44" s="1"/>
      <c r="C44" s="1"/>
      <c r="D44" s="1"/>
      <c r="E44" s="1"/>
      <c r="F44" s="1"/>
      <c r="G44" s="1"/>
      <c r="H44" s="1"/>
      <c r="I44" s="1"/>
    </row>
    <row r="45" ht="15.75" customHeight="1">
      <c r="A45" s="1"/>
      <c r="B45" s="1"/>
      <c r="C45" s="1"/>
      <c r="D45" s="1"/>
      <c r="E45" s="1"/>
      <c r="F45" s="1"/>
      <c r="G45" s="1"/>
      <c r="H45" s="1"/>
      <c r="I45" s="1"/>
    </row>
    <row r="46" ht="15.75" customHeight="1">
      <c r="A46" s="1"/>
      <c r="B46" s="1"/>
      <c r="C46" s="1"/>
      <c r="D46" s="1"/>
      <c r="E46" s="1"/>
      <c r="F46" s="1"/>
      <c r="G46" s="1"/>
      <c r="H46" s="1"/>
      <c r="I46" s="1"/>
    </row>
    <row r="47" ht="15.75" customHeight="1">
      <c r="A47" s="1"/>
      <c r="B47" s="1"/>
      <c r="C47" s="1"/>
      <c r="D47" s="1"/>
      <c r="E47" s="1"/>
      <c r="F47" s="1"/>
      <c r="G47" s="1"/>
      <c r="H47" s="1"/>
      <c r="I47" s="1"/>
    </row>
    <row r="48" ht="15.75" customHeight="1">
      <c r="A48" s="1"/>
      <c r="B48" s="1"/>
      <c r="C48" s="1"/>
      <c r="D48" s="1"/>
      <c r="E48" s="1"/>
      <c r="F48" s="1"/>
      <c r="G48" s="1"/>
      <c r="H48" s="1"/>
      <c r="I48" s="1"/>
    </row>
    <row r="49" ht="15.75" customHeight="1">
      <c r="A49" s="1"/>
      <c r="B49" s="1"/>
      <c r="C49" s="1"/>
      <c r="D49" s="1"/>
      <c r="E49" s="1"/>
      <c r="F49" s="1"/>
      <c r="G49" s="1"/>
      <c r="H49" s="1"/>
      <c r="I49" s="1"/>
    </row>
    <row r="50" ht="15.75" customHeight="1">
      <c r="A50" s="1"/>
      <c r="B50" s="1"/>
      <c r="C50" s="1"/>
      <c r="D50" s="1"/>
      <c r="E50" s="1"/>
      <c r="F50" s="1"/>
      <c r="G50" s="1"/>
      <c r="H50" s="1"/>
      <c r="I50" s="1"/>
    </row>
    <row r="51" ht="15.75" customHeight="1">
      <c r="A51" s="1"/>
      <c r="B51" s="1"/>
      <c r="C51" s="1"/>
      <c r="D51" s="1"/>
      <c r="E51" s="1"/>
      <c r="F51" s="1"/>
      <c r="G51" s="1"/>
      <c r="H51" s="1"/>
      <c r="I51" s="1"/>
    </row>
    <row r="52" ht="15.75" customHeight="1">
      <c r="A52" s="1"/>
      <c r="B52" s="1"/>
      <c r="C52" s="1"/>
      <c r="D52" s="1"/>
      <c r="E52" s="1"/>
      <c r="F52" s="1"/>
      <c r="G52" s="1"/>
      <c r="H52" s="1"/>
      <c r="I52" s="1"/>
    </row>
    <row r="53" ht="15.75" customHeight="1">
      <c r="A53" s="1"/>
      <c r="B53" s="1"/>
      <c r="C53" s="1"/>
      <c r="D53" s="1"/>
      <c r="E53" s="1"/>
      <c r="F53" s="1"/>
      <c r="G53" s="1"/>
      <c r="H53" s="1"/>
      <c r="I53" s="1"/>
    </row>
    <row r="54" ht="15.75" customHeight="1">
      <c r="A54" s="1"/>
      <c r="B54" s="1"/>
      <c r="C54" s="1"/>
      <c r="D54" s="1"/>
      <c r="E54" s="1"/>
      <c r="F54" s="1"/>
      <c r="G54" s="1"/>
      <c r="H54" s="1"/>
      <c r="I54" s="1"/>
    </row>
    <row r="55" ht="15.75" customHeight="1">
      <c r="A55" s="1"/>
      <c r="B55" s="1"/>
      <c r="C55" s="1"/>
      <c r="D55" s="1"/>
      <c r="E55" s="1"/>
      <c r="F55" s="1"/>
      <c r="G55" s="1"/>
      <c r="H55" s="1"/>
      <c r="I55" s="1"/>
    </row>
    <row r="56" ht="15.75" customHeight="1">
      <c r="A56" s="1"/>
      <c r="B56" s="1"/>
      <c r="C56" s="1"/>
      <c r="D56" s="1"/>
      <c r="E56" s="1"/>
      <c r="F56" s="1"/>
      <c r="G56" s="1"/>
      <c r="H56" s="1"/>
      <c r="I56" s="1"/>
    </row>
    <row r="57" ht="15.75" customHeight="1">
      <c r="A57" s="1"/>
      <c r="B57" s="1"/>
      <c r="C57" s="1"/>
      <c r="D57" s="1"/>
      <c r="E57" s="1"/>
      <c r="F57" s="1"/>
      <c r="G57" s="1"/>
      <c r="H57" s="1"/>
      <c r="I57" s="1"/>
    </row>
    <row r="58" ht="15.75" customHeight="1">
      <c r="A58" s="1"/>
      <c r="B58" s="1"/>
      <c r="C58" s="1"/>
      <c r="D58" s="1"/>
      <c r="E58" s="1"/>
      <c r="F58" s="1"/>
      <c r="G58" s="1"/>
      <c r="H58" s="1"/>
      <c r="I58" s="1"/>
    </row>
    <row r="59" ht="15.75" customHeight="1">
      <c r="A59" s="1"/>
      <c r="B59" s="1"/>
      <c r="C59" s="1"/>
      <c r="D59" s="1"/>
      <c r="E59" s="1"/>
      <c r="F59" s="1"/>
      <c r="G59" s="1"/>
      <c r="H59" s="1"/>
      <c r="I59" s="1"/>
    </row>
    <row r="60" ht="15.75" customHeight="1">
      <c r="A60" s="1"/>
      <c r="B60" s="1"/>
      <c r="C60" s="1"/>
      <c r="D60" s="1"/>
      <c r="E60" s="1"/>
      <c r="F60" s="1"/>
      <c r="G60" s="1"/>
      <c r="H60" s="1"/>
      <c r="I60" s="1"/>
    </row>
    <row r="61" ht="15.75" customHeight="1">
      <c r="A61" s="1"/>
      <c r="B61" s="1"/>
      <c r="C61" s="1"/>
      <c r="D61" s="1"/>
      <c r="E61" s="1"/>
      <c r="F61" s="1"/>
      <c r="G61" s="1"/>
      <c r="H61" s="1"/>
      <c r="I61" s="1"/>
    </row>
    <row r="62" ht="15.75" customHeight="1">
      <c r="A62" s="1"/>
      <c r="B62" s="1"/>
      <c r="C62" s="1"/>
      <c r="D62" s="1"/>
      <c r="E62" s="1"/>
      <c r="F62" s="1"/>
      <c r="G62" s="1"/>
      <c r="H62" s="1"/>
      <c r="I62" s="1"/>
    </row>
    <row r="63" ht="15.75" customHeight="1">
      <c r="A63" s="1"/>
      <c r="B63" s="1"/>
      <c r="C63" s="1"/>
      <c r="D63" s="1"/>
      <c r="E63" s="1"/>
      <c r="F63" s="1"/>
      <c r="G63" s="1"/>
      <c r="H63" s="1"/>
      <c r="I63" s="1"/>
    </row>
    <row r="64" ht="15.75" customHeight="1">
      <c r="A64" s="1"/>
      <c r="B64" s="1"/>
      <c r="C64" s="1"/>
      <c r="D64" s="1"/>
      <c r="E64" s="1"/>
      <c r="F64" s="1"/>
      <c r="G64" s="1"/>
      <c r="H64" s="1"/>
      <c r="I64" s="1"/>
    </row>
    <row r="65" ht="15.75" customHeight="1">
      <c r="A65" s="1"/>
      <c r="B65" s="1"/>
      <c r="C65" s="1"/>
      <c r="D65" s="1"/>
      <c r="E65" s="1"/>
      <c r="F65" s="1"/>
      <c r="G65" s="1"/>
      <c r="H65" s="1"/>
      <c r="I65" s="1"/>
    </row>
    <row r="66" ht="15.75" customHeight="1">
      <c r="A66" s="1"/>
      <c r="B66" s="1"/>
      <c r="C66" s="1"/>
      <c r="D66" s="1"/>
      <c r="E66" s="1"/>
      <c r="F66" s="1"/>
      <c r="G66" s="1"/>
      <c r="H66" s="1"/>
      <c r="I66" s="1"/>
    </row>
    <row r="67" ht="15.75" customHeight="1">
      <c r="A67" s="1"/>
      <c r="B67" s="1"/>
      <c r="C67" s="1"/>
      <c r="D67" s="1"/>
      <c r="E67" s="1"/>
      <c r="F67" s="1"/>
      <c r="G67" s="1"/>
      <c r="H67" s="1"/>
      <c r="I67" s="1"/>
    </row>
    <row r="68" ht="15.75" customHeight="1">
      <c r="A68" s="1"/>
      <c r="B68" s="1"/>
      <c r="C68" s="1"/>
      <c r="D68" s="1"/>
      <c r="E68" s="1"/>
      <c r="F68" s="1"/>
      <c r="G68" s="1"/>
      <c r="H68" s="1"/>
      <c r="I68" s="1"/>
    </row>
    <row r="69" ht="15.75" customHeight="1">
      <c r="A69" s="1"/>
      <c r="B69" s="1"/>
      <c r="C69" s="1"/>
      <c r="D69" s="1"/>
      <c r="E69" s="1"/>
      <c r="F69" s="1"/>
      <c r="G69" s="1"/>
      <c r="H69" s="1"/>
      <c r="I69" s="1"/>
    </row>
    <row r="70" ht="15.75" customHeight="1">
      <c r="A70" s="1"/>
      <c r="B70" s="1"/>
      <c r="C70" s="1"/>
      <c r="D70" s="1"/>
      <c r="E70" s="1"/>
      <c r="F70" s="1"/>
      <c r="G70" s="1"/>
      <c r="H70" s="1"/>
      <c r="I70" s="1"/>
    </row>
    <row r="71" ht="15.75" customHeight="1">
      <c r="A71" s="1"/>
      <c r="B71" s="1"/>
      <c r="C71" s="1"/>
      <c r="D71" s="1"/>
      <c r="E71" s="1"/>
      <c r="F71" s="1"/>
      <c r="G71" s="1"/>
      <c r="H71" s="1"/>
      <c r="I71" s="1"/>
    </row>
    <row r="72" ht="15.75" customHeight="1">
      <c r="A72" s="1"/>
      <c r="B72" s="1"/>
      <c r="C72" s="1"/>
      <c r="D72" s="1"/>
      <c r="E72" s="1"/>
      <c r="F72" s="1"/>
      <c r="G72" s="1"/>
      <c r="H72" s="1"/>
      <c r="I72" s="1"/>
    </row>
    <row r="73" ht="15.75" customHeight="1">
      <c r="A73" s="1"/>
      <c r="B73" s="1"/>
      <c r="C73" s="1"/>
      <c r="D73" s="1"/>
      <c r="E73" s="1"/>
      <c r="F73" s="1"/>
      <c r="G73" s="1"/>
      <c r="H73" s="1"/>
      <c r="I73" s="1"/>
    </row>
    <row r="74" ht="15.75" customHeight="1">
      <c r="A74" s="1"/>
      <c r="B74" s="1"/>
      <c r="C74" s="1"/>
      <c r="D74" s="1"/>
      <c r="E74" s="1"/>
      <c r="F74" s="1"/>
      <c r="G74" s="1"/>
      <c r="H74" s="1"/>
      <c r="I74" s="1"/>
    </row>
    <row r="75" ht="15.75" customHeight="1">
      <c r="A75" s="1"/>
      <c r="B75" s="1"/>
      <c r="C75" s="1"/>
      <c r="D75" s="1"/>
      <c r="E75" s="1"/>
      <c r="F75" s="1"/>
      <c r="G75" s="1"/>
      <c r="H75" s="1"/>
      <c r="I75" s="1"/>
    </row>
    <row r="76" ht="15.75" customHeight="1">
      <c r="A76" s="1"/>
      <c r="B76" s="1"/>
      <c r="C76" s="1"/>
      <c r="D76" s="1"/>
      <c r="E76" s="1"/>
      <c r="F76" s="1"/>
      <c r="G76" s="1"/>
      <c r="H76" s="1"/>
      <c r="I76" s="1"/>
    </row>
    <row r="77" ht="15.75" customHeight="1">
      <c r="A77" s="1"/>
      <c r="B77" s="1"/>
      <c r="C77" s="1"/>
      <c r="D77" s="1"/>
      <c r="E77" s="1"/>
      <c r="F77" s="1"/>
      <c r="G77" s="1"/>
      <c r="H77" s="1"/>
      <c r="I77" s="1"/>
    </row>
    <row r="78" ht="15.75" customHeight="1">
      <c r="A78" s="1"/>
      <c r="B78" s="1"/>
      <c r="C78" s="1"/>
      <c r="D78" s="1"/>
      <c r="E78" s="1"/>
      <c r="F78" s="1"/>
      <c r="G78" s="1"/>
      <c r="H78" s="1"/>
      <c r="I78" s="1"/>
    </row>
    <row r="79" ht="15.75" customHeight="1">
      <c r="A79" s="1"/>
      <c r="B79" s="1"/>
      <c r="C79" s="1"/>
      <c r="D79" s="1"/>
      <c r="E79" s="1"/>
      <c r="F79" s="1"/>
      <c r="G79" s="1"/>
      <c r="H79" s="1"/>
      <c r="I79" s="1"/>
    </row>
    <row r="80" ht="15.75" customHeight="1">
      <c r="A80" s="1"/>
      <c r="B80" s="1"/>
      <c r="C80" s="1"/>
      <c r="D80" s="1"/>
      <c r="E80" s="1"/>
      <c r="F80" s="1"/>
      <c r="G80" s="1"/>
      <c r="H80" s="1"/>
      <c r="I80" s="1"/>
    </row>
    <row r="81" ht="15.75" customHeight="1">
      <c r="A81" s="1"/>
      <c r="B81" s="1"/>
      <c r="C81" s="1"/>
      <c r="D81" s="1"/>
      <c r="E81" s="1"/>
      <c r="F81" s="1"/>
      <c r="G81" s="1"/>
      <c r="H81" s="1"/>
      <c r="I81" s="1"/>
    </row>
    <row r="82" ht="15.75" customHeight="1">
      <c r="A82" s="1"/>
      <c r="B82" s="1"/>
      <c r="C82" s="1"/>
      <c r="D82" s="1"/>
      <c r="E82" s="1"/>
      <c r="F82" s="1"/>
      <c r="G82" s="1"/>
      <c r="H82" s="1"/>
      <c r="I82" s="1"/>
    </row>
    <row r="83" ht="15.75" customHeight="1">
      <c r="A83" s="1"/>
      <c r="B83" s="1"/>
      <c r="C83" s="1"/>
      <c r="D83" s="1"/>
      <c r="E83" s="1"/>
      <c r="F83" s="1"/>
      <c r="G83" s="1"/>
      <c r="H83" s="1"/>
      <c r="I83" s="1"/>
    </row>
    <row r="84" ht="15.75" customHeight="1">
      <c r="A84" s="1"/>
      <c r="B84" s="1"/>
      <c r="C84" s="1"/>
      <c r="D84" s="1"/>
      <c r="E84" s="1"/>
      <c r="F84" s="1"/>
      <c r="G84" s="1"/>
      <c r="H84" s="1"/>
      <c r="I84" s="1"/>
    </row>
    <row r="85" ht="15.75" customHeight="1">
      <c r="A85" s="1"/>
      <c r="B85" s="1"/>
      <c r="C85" s="1"/>
      <c r="D85" s="1"/>
      <c r="E85" s="1"/>
      <c r="F85" s="1"/>
      <c r="G85" s="1"/>
      <c r="H85" s="1"/>
      <c r="I85" s="1"/>
    </row>
    <row r="86" ht="15.75" customHeight="1">
      <c r="A86" s="1"/>
      <c r="B86" s="1"/>
      <c r="C86" s="1"/>
      <c r="D86" s="1"/>
      <c r="E86" s="1"/>
      <c r="F86" s="1"/>
      <c r="G86" s="1"/>
      <c r="H86" s="1"/>
      <c r="I86" s="1"/>
    </row>
    <row r="87" ht="15.75" customHeight="1">
      <c r="A87" s="1"/>
      <c r="B87" s="1"/>
      <c r="C87" s="1"/>
      <c r="D87" s="1"/>
      <c r="E87" s="1"/>
      <c r="F87" s="1"/>
      <c r="G87" s="1"/>
      <c r="H87" s="1"/>
      <c r="I87" s="1"/>
    </row>
    <row r="88" ht="15.75" customHeight="1">
      <c r="A88" s="1"/>
      <c r="B88" s="1"/>
      <c r="C88" s="1"/>
      <c r="D88" s="1"/>
      <c r="E88" s="1"/>
      <c r="F88" s="1"/>
      <c r="G88" s="1"/>
      <c r="H88" s="1"/>
      <c r="I88" s="1"/>
    </row>
    <row r="89" ht="15.75" customHeight="1">
      <c r="A89" s="1"/>
      <c r="B89" s="1"/>
      <c r="C89" s="1"/>
      <c r="D89" s="1"/>
      <c r="E89" s="1"/>
      <c r="F89" s="1"/>
      <c r="G89" s="1"/>
      <c r="H89" s="1"/>
      <c r="I89" s="1"/>
    </row>
    <row r="90" ht="15.75" customHeight="1">
      <c r="A90" s="1"/>
      <c r="B90" s="1"/>
      <c r="C90" s="1"/>
      <c r="D90" s="1"/>
      <c r="E90" s="1"/>
      <c r="F90" s="1"/>
      <c r="G90" s="1"/>
      <c r="H90" s="1"/>
      <c r="I90" s="1"/>
    </row>
    <row r="91" ht="15.75" customHeight="1">
      <c r="A91" s="1"/>
      <c r="B91" s="1"/>
      <c r="C91" s="1"/>
      <c r="D91" s="1"/>
      <c r="E91" s="1"/>
      <c r="F91" s="1"/>
      <c r="G91" s="1"/>
      <c r="H91" s="1"/>
      <c r="I91" s="1"/>
    </row>
    <row r="92" ht="15.75" customHeight="1">
      <c r="A92" s="1"/>
      <c r="B92" s="1"/>
      <c r="C92" s="1"/>
      <c r="D92" s="1"/>
      <c r="E92" s="1"/>
      <c r="F92" s="1"/>
      <c r="G92" s="1"/>
      <c r="H92" s="1"/>
      <c r="I92" s="1"/>
    </row>
    <row r="93" ht="15.75" customHeight="1">
      <c r="A93" s="1"/>
      <c r="B93" s="1"/>
      <c r="C93" s="1"/>
      <c r="D93" s="1"/>
      <c r="E93" s="1"/>
      <c r="F93" s="1"/>
      <c r="G93" s="1"/>
      <c r="H93" s="1"/>
      <c r="I93" s="1"/>
    </row>
    <row r="94" ht="15.75" customHeight="1">
      <c r="A94" s="1"/>
      <c r="B94" s="1"/>
      <c r="C94" s="1"/>
      <c r="D94" s="1"/>
      <c r="E94" s="1"/>
      <c r="F94" s="1"/>
      <c r="G94" s="1"/>
      <c r="H94" s="1"/>
      <c r="I94" s="1"/>
    </row>
    <row r="95" ht="15.75" customHeight="1">
      <c r="A95" s="1"/>
      <c r="B95" s="1"/>
      <c r="C95" s="1"/>
      <c r="D95" s="1"/>
      <c r="E95" s="1"/>
      <c r="F95" s="1"/>
      <c r="G95" s="1"/>
      <c r="H95" s="1"/>
      <c r="I95" s="1"/>
    </row>
    <row r="96" ht="15.75" customHeight="1">
      <c r="A96" s="1"/>
      <c r="B96" s="1"/>
      <c r="C96" s="1"/>
      <c r="D96" s="1"/>
      <c r="E96" s="1"/>
      <c r="F96" s="1"/>
      <c r="G96" s="1"/>
      <c r="H96" s="1"/>
      <c r="I96" s="1"/>
    </row>
    <row r="97" ht="15.75" customHeight="1">
      <c r="A97" s="1"/>
      <c r="B97" s="1"/>
      <c r="C97" s="1"/>
      <c r="D97" s="1"/>
      <c r="E97" s="1"/>
      <c r="F97" s="1"/>
      <c r="G97" s="1"/>
      <c r="H97" s="1"/>
      <c r="I97" s="1"/>
    </row>
    <row r="98" ht="15.75" customHeight="1">
      <c r="A98" s="1"/>
      <c r="B98" s="1"/>
      <c r="C98" s="1"/>
      <c r="D98" s="1"/>
      <c r="E98" s="1"/>
      <c r="F98" s="1"/>
      <c r="G98" s="1"/>
      <c r="H98" s="1"/>
      <c r="I98" s="1"/>
    </row>
    <row r="99" ht="15.75" customHeight="1">
      <c r="A99" s="1"/>
      <c r="B99" s="1"/>
      <c r="C99" s="1"/>
      <c r="D99" s="1"/>
      <c r="E99" s="1"/>
      <c r="F99" s="1"/>
      <c r="G99" s="1"/>
      <c r="H99" s="1"/>
      <c r="I99" s="1"/>
    </row>
    <row r="100" ht="15.75" customHeight="1">
      <c r="A100" s="1"/>
      <c r="B100" s="1"/>
      <c r="C100" s="1"/>
      <c r="D100" s="1"/>
      <c r="E100" s="1"/>
      <c r="F100" s="1"/>
      <c r="G100" s="1"/>
      <c r="H100" s="1"/>
      <c r="I100" s="1"/>
    </row>
    <row r="101" ht="15.75" customHeight="1">
      <c r="A101" s="1"/>
      <c r="B101" s="1"/>
      <c r="C101" s="1"/>
      <c r="D101" s="1"/>
      <c r="E101" s="1"/>
      <c r="F101" s="1"/>
      <c r="G101" s="1"/>
      <c r="H101" s="1"/>
      <c r="I101" s="1"/>
    </row>
    <row r="102" ht="15.75" customHeight="1">
      <c r="A102" s="1"/>
      <c r="B102" s="1"/>
      <c r="C102" s="1"/>
      <c r="D102" s="1"/>
      <c r="E102" s="1"/>
      <c r="F102" s="1"/>
      <c r="G102" s="1"/>
      <c r="H102" s="1"/>
      <c r="I102" s="1"/>
    </row>
    <row r="103" ht="15.75" customHeight="1">
      <c r="A103" s="1"/>
      <c r="B103" s="1"/>
      <c r="C103" s="1"/>
      <c r="D103" s="1"/>
      <c r="E103" s="1"/>
      <c r="F103" s="1"/>
      <c r="G103" s="1"/>
      <c r="H103" s="1"/>
      <c r="I103" s="1"/>
    </row>
    <row r="104" ht="15.75" customHeight="1">
      <c r="A104" s="1"/>
      <c r="B104" s="1"/>
      <c r="C104" s="1"/>
      <c r="D104" s="1"/>
      <c r="E104" s="1"/>
      <c r="F104" s="1"/>
      <c r="G104" s="1"/>
      <c r="H104" s="1"/>
      <c r="I104" s="1"/>
    </row>
    <row r="105" ht="15.75" customHeight="1">
      <c r="A105" s="1"/>
      <c r="B105" s="1"/>
      <c r="C105" s="1"/>
      <c r="D105" s="1"/>
      <c r="E105" s="1"/>
      <c r="F105" s="1"/>
      <c r="G105" s="1"/>
      <c r="H105" s="1"/>
      <c r="I105" s="1"/>
    </row>
    <row r="106" ht="15.75" customHeight="1">
      <c r="A106" s="1"/>
      <c r="B106" s="1"/>
      <c r="C106" s="1"/>
      <c r="D106" s="1"/>
      <c r="E106" s="1"/>
      <c r="F106" s="1"/>
      <c r="G106" s="1"/>
      <c r="H106" s="1"/>
      <c r="I106" s="1"/>
    </row>
    <row r="107" ht="15.75" customHeight="1">
      <c r="A107" s="1"/>
      <c r="B107" s="1"/>
      <c r="C107" s="1"/>
      <c r="D107" s="1"/>
      <c r="E107" s="1"/>
      <c r="F107" s="1"/>
      <c r="G107" s="1"/>
      <c r="H107" s="1"/>
      <c r="I107" s="1"/>
    </row>
    <row r="108" ht="15.75" customHeight="1">
      <c r="A108" s="1"/>
      <c r="B108" s="1"/>
      <c r="C108" s="1"/>
      <c r="D108" s="1"/>
      <c r="E108" s="1"/>
      <c r="F108" s="1"/>
      <c r="G108" s="1"/>
      <c r="H108" s="1"/>
      <c r="I108" s="1"/>
    </row>
    <row r="109" ht="15.75" customHeight="1">
      <c r="A109" s="1"/>
      <c r="B109" s="1"/>
      <c r="C109" s="1"/>
      <c r="D109" s="1"/>
      <c r="E109" s="1"/>
      <c r="F109" s="1"/>
      <c r="G109" s="1"/>
      <c r="H109" s="1"/>
      <c r="I109" s="1"/>
    </row>
    <row r="110" ht="15.75" customHeight="1">
      <c r="A110" s="1"/>
      <c r="B110" s="1"/>
      <c r="C110" s="1"/>
      <c r="D110" s="1"/>
      <c r="E110" s="1"/>
      <c r="F110" s="1"/>
      <c r="G110" s="1"/>
      <c r="H110" s="1"/>
      <c r="I110" s="1"/>
    </row>
    <row r="111" ht="15.75" customHeight="1">
      <c r="A111" s="1"/>
      <c r="B111" s="1"/>
      <c r="C111" s="1"/>
      <c r="D111" s="1"/>
      <c r="E111" s="1"/>
      <c r="F111" s="1"/>
      <c r="G111" s="1"/>
      <c r="H111" s="1"/>
      <c r="I111" s="1"/>
    </row>
    <row r="112" ht="15.75" customHeight="1">
      <c r="A112" s="1"/>
      <c r="B112" s="1"/>
      <c r="C112" s="1"/>
      <c r="D112" s="1"/>
      <c r="E112" s="1"/>
      <c r="F112" s="1"/>
      <c r="G112" s="1"/>
      <c r="H112" s="1"/>
      <c r="I112" s="1"/>
    </row>
    <row r="113" ht="15.75" customHeight="1">
      <c r="A113" s="1"/>
      <c r="B113" s="1"/>
      <c r="C113" s="1"/>
      <c r="D113" s="1"/>
      <c r="E113" s="1"/>
      <c r="F113" s="1"/>
      <c r="G113" s="1"/>
      <c r="H113" s="1"/>
      <c r="I113" s="1"/>
    </row>
    <row r="114" ht="15.75" customHeight="1">
      <c r="A114" s="1"/>
      <c r="B114" s="1"/>
      <c r="C114" s="1"/>
      <c r="D114" s="1"/>
      <c r="E114" s="1"/>
      <c r="F114" s="1"/>
      <c r="G114" s="1"/>
      <c r="H114" s="1"/>
      <c r="I114" s="1"/>
    </row>
    <row r="115" ht="15.75" customHeight="1">
      <c r="A115" s="1"/>
      <c r="B115" s="1"/>
      <c r="C115" s="1"/>
      <c r="D115" s="1"/>
      <c r="E115" s="1"/>
      <c r="F115" s="1"/>
      <c r="G115" s="1"/>
      <c r="H115" s="1"/>
      <c r="I115" s="1"/>
    </row>
    <row r="116" ht="15.75" customHeight="1">
      <c r="A116" s="1"/>
      <c r="B116" s="1"/>
      <c r="C116" s="1"/>
      <c r="D116" s="1"/>
      <c r="E116" s="1"/>
      <c r="F116" s="1"/>
      <c r="G116" s="1"/>
      <c r="H116" s="1"/>
      <c r="I116" s="1"/>
    </row>
    <row r="117" ht="15.75" customHeight="1">
      <c r="A117" s="1"/>
      <c r="B117" s="1"/>
      <c r="C117" s="1"/>
      <c r="D117" s="1"/>
      <c r="E117" s="1"/>
      <c r="F117" s="1"/>
      <c r="G117" s="1"/>
      <c r="H117" s="1"/>
      <c r="I117" s="1"/>
    </row>
    <row r="118" ht="15.75" customHeight="1">
      <c r="A118" s="1"/>
      <c r="B118" s="1"/>
      <c r="C118" s="1"/>
      <c r="D118" s="1"/>
      <c r="E118" s="1"/>
      <c r="F118" s="1"/>
      <c r="G118" s="1"/>
      <c r="H118" s="1"/>
      <c r="I118" s="1"/>
    </row>
    <row r="119" ht="15.75" customHeight="1">
      <c r="A119" s="1"/>
      <c r="B119" s="1"/>
      <c r="C119" s="1"/>
      <c r="D119" s="1"/>
      <c r="E119" s="1"/>
      <c r="F119" s="1"/>
      <c r="G119" s="1"/>
      <c r="H119" s="1"/>
      <c r="I119" s="1"/>
    </row>
    <row r="120" ht="15.75" customHeight="1">
      <c r="A120" s="1"/>
      <c r="B120" s="1"/>
      <c r="C120" s="1"/>
      <c r="D120" s="1"/>
      <c r="E120" s="1"/>
      <c r="F120" s="1"/>
      <c r="G120" s="1"/>
      <c r="H120" s="1"/>
      <c r="I120" s="1"/>
    </row>
    <row r="121" ht="15.75" customHeight="1">
      <c r="A121" s="1"/>
      <c r="B121" s="1"/>
      <c r="C121" s="1"/>
      <c r="D121" s="1"/>
      <c r="E121" s="1"/>
      <c r="F121" s="1"/>
      <c r="G121" s="1"/>
      <c r="H121" s="1"/>
      <c r="I121" s="1"/>
    </row>
    <row r="122" ht="15.75" customHeight="1">
      <c r="A122" s="1"/>
      <c r="B122" s="1"/>
      <c r="C122" s="1"/>
      <c r="D122" s="1"/>
      <c r="E122" s="1"/>
      <c r="F122" s="1"/>
      <c r="G122" s="1"/>
      <c r="H122" s="1"/>
      <c r="I122" s="1"/>
    </row>
    <row r="123" ht="15.75" customHeight="1">
      <c r="A123" s="1"/>
      <c r="B123" s="1"/>
      <c r="C123" s="1"/>
      <c r="D123" s="1"/>
      <c r="E123" s="1"/>
      <c r="F123" s="1"/>
      <c r="G123" s="1"/>
      <c r="H123" s="1"/>
      <c r="I123" s="1"/>
    </row>
    <row r="124" ht="15.75" customHeight="1">
      <c r="A124" s="1"/>
      <c r="B124" s="1"/>
      <c r="C124" s="1"/>
      <c r="D124" s="1"/>
      <c r="E124" s="1"/>
      <c r="F124" s="1"/>
      <c r="G124" s="1"/>
      <c r="H124" s="1"/>
      <c r="I124" s="1"/>
    </row>
    <row r="125" ht="15.75" customHeight="1">
      <c r="A125" s="1"/>
      <c r="B125" s="1"/>
      <c r="C125" s="1"/>
      <c r="D125" s="1"/>
      <c r="E125" s="1"/>
      <c r="F125" s="1"/>
      <c r="G125" s="1"/>
      <c r="H125" s="1"/>
      <c r="I125" s="1"/>
    </row>
    <row r="126" ht="15.75" customHeight="1">
      <c r="A126" s="1"/>
      <c r="B126" s="1"/>
      <c r="C126" s="1"/>
      <c r="D126" s="1"/>
      <c r="E126" s="1"/>
      <c r="F126" s="1"/>
      <c r="G126" s="1"/>
      <c r="H126" s="1"/>
      <c r="I126" s="1"/>
    </row>
    <row r="127" ht="15.75" customHeight="1">
      <c r="A127" s="1"/>
      <c r="B127" s="1"/>
      <c r="C127" s="1"/>
      <c r="D127" s="1"/>
      <c r="E127" s="1"/>
      <c r="F127" s="1"/>
      <c r="G127" s="1"/>
      <c r="H127" s="1"/>
      <c r="I127" s="1"/>
    </row>
    <row r="128" ht="15.75" customHeight="1">
      <c r="A128" s="1"/>
      <c r="B128" s="1"/>
      <c r="C128" s="1"/>
      <c r="D128" s="1"/>
      <c r="E128" s="1"/>
      <c r="F128" s="1"/>
      <c r="G128" s="1"/>
      <c r="H128" s="1"/>
      <c r="I128" s="1"/>
    </row>
    <row r="129" ht="15.75" customHeight="1">
      <c r="A129" s="1"/>
      <c r="B129" s="1"/>
      <c r="C129" s="1"/>
      <c r="D129" s="1"/>
      <c r="E129" s="1"/>
      <c r="F129" s="1"/>
      <c r="G129" s="1"/>
      <c r="H129" s="1"/>
      <c r="I129" s="1"/>
    </row>
    <row r="130" ht="15.75" customHeight="1">
      <c r="A130" s="1"/>
      <c r="B130" s="1"/>
      <c r="C130" s="1"/>
      <c r="D130" s="1"/>
      <c r="E130" s="1"/>
      <c r="F130" s="1"/>
      <c r="G130" s="1"/>
      <c r="H130" s="1"/>
      <c r="I130" s="1"/>
    </row>
    <row r="131" ht="15.75" customHeight="1">
      <c r="A131" s="1"/>
      <c r="B131" s="1"/>
      <c r="C131" s="1"/>
      <c r="D131" s="1"/>
      <c r="E131" s="1"/>
      <c r="F131" s="1"/>
      <c r="G131" s="1"/>
      <c r="H131" s="1"/>
      <c r="I131" s="1"/>
    </row>
    <row r="132" ht="15.75" customHeight="1">
      <c r="A132" s="1"/>
      <c r="B132" s="1"/>
      <c r="C132" s="1"/>
      <c r="D132" s="1"/>
      <c r="E132" s="1"/>
      <c r="F132" s="1"/>
      <c r="G132" s="1"/>
      <c r="H132" s="1"/>
      <c r="I132" s="1"/>
    </row>
    <row r="133" ht="15.75" customHeight="1">
      <c r="A133" s="1"/>
      <c r="B133" s="1"/>
      <c r="C133" s="1"/>
      <c r="D133" s="1"/>
      <c r="E133" s="1"/>
      <c r="F133" s="1"/>
      <c r="G133" s="1"/>
      <c r="H133" s="1"/>
      <c r="I133" s="1"/>
    </row>
    <row r="134" ht="15.75" customHeight="1">
      <c r="A134" s="1"/>
      <c r="B134" s="1"/>
      <c r="C134" s="1"/>
      <c r="D134" s="1"/>
      <c r="E134" s="1"/>
      <c r="F134" s="1"/>
      <c r="G134" s="1"/>
      <c r="H134" s="1"/>
      <c r="I134" s="1"/>
    </row>
    <row r="135" ht="15.75" customHeight="1">
      <c r="A135" s="1"/>
      <c r="B135" s="1"/>
      <c r="C135" s="1"/>
      <c r="D135" s="1"/>
      <c r="E135" s="1"/>
      <c r="F135" s="1"/>
      <c r="G135" s="1"/>
      <c r="H135" s="1"/>
      <c r="I135" s="1"/>
    </row>
    <row r="136" ht="15.75" customHeight="1">
      <c r="A136" s="1"/>
      <c r="B136" s="1"/>
      <c r="C136" s="1"/>
      <c r="D136" s="1"/>
      <c r="E136" s="1"/>
      <c r="F136" s="1"/>
      <c r="G136" s="1"/>
      <c r="H136" s="1"/>
      <c r="I136" s="1"/>
    </row>
    <row r="137" ht="15.75" customHeight="1">
      <c r="A137" s="1"/>
      <c r="B137" s="1"/>
      <c r="C137" s="1"/>
      <c r="D137" s="1"/>
      <c r="E137" s="1"/>
      <c r="F137" s="1"/>
      <c r="G137" s="1"/>
      <c r="H137" s="1"/>
      <c r="I137" s="1"/>
    </row>
    <row r="138" ht="15.75" customHeight="1">
      <c r="A138" s="1"/>
      <c r="B138" s="1"/>
      <c r="C138" s="1"/>
      <c r="D138" s="1"/>
      <c r="E138" s="1"/>
      <c r="F138" s="1"/>
      <c r="G138" s="1"/>
      <c r="H138" s="1"/>
      <c r="I138" s="1"/>
    </row>
    <row r="139" ht="15.75" customHeight="1">
      <c r="A139" s="1"/>
      <c r="B139" s="1"/>
      <c r="C139" s="1"/>
      <c r="D139" s="1"/>
      <c r="E139" s="1"/>
      <c r="F139" s="1"/>
      <c r="G139" s="1"/>
      <c r="H139" s="1"/>
      <c r="I139" s="1"/>
    </row>
    <row r="140" ht="15.75" customHeight="1">
      <c r="A140" s="1"/>
      <c r="B140" s="1"/>
      <c r="C140" s="1"/>
      <c r="D140" s="1"/>
      <c r="E140" s="1"/>
      <c r="F140" s="1"/>
      <c r="G140" s="1"/>
      <c r="H140" s="1"/>
      <c r="I140" s="1"/>
    </row>
    <row r="141" ht="15.75" customHeight="1">
      <c r="A141" s="1"/>
      <c r="B141" s="1"/>
      <c r="C141" s="1"/>
      <c r="D141" s="1"/>
      <c r="E141" s="1"/>
      <c r="F141" s="1"/>
      <c r="G141" s="1"/>
      <c r="H141" s="1"/>
      <c r="I141" s="1"/>
    </row>
    <row r="142" ht="15.75" customHeight="1">
      <c r="A142" s="1"/>
      <c r="B142" s="1"/>
      <c r="C142" s="1"/>
      <c r="D142" s="1"/>
      <c r="E142" s="1"/>
      <c r="F142" s="1"/>
      <c r="G142" s="1"/>
      <c r="H142" s="1"/>
      <c r="I142" s="1"/>
    </row>
    <row r="143" ht="15.75" customHeight="1">
      <c r="A143" s="1"/>
      <c r="B143" s="1"/>
      <c r="C143" s="1"/>
      <c r="D143" s="1"/>
      <c r="E143" s="1"/>
      <c r="F143" s="1"/>
      <c r="G143" s="1"/>
      <c r="H143" s="1"/>
      <c r="I143" s="1"/>
    </row>
    <row r="144" ht="15.75" customHeight="1">
      <c r="A144" s="1"/>
      <c r="B144" s="1"/>
      <c r="C144" s="1"/>
      <c r="D144" s="1"/>
      <c r="E144" s="1"/>
      <c r="F144" s="1"/>
      <c r="G144" s="1"/>
      <c r="H144" s="1"/>
      <c r="I144" s="1"/>
    </row>
    <row r="145" ht="15.75" customHeight="1">
      <c r="A145" s="1"/>
      <c r="B145" s="1"/>
      <c r="C145" s="1"/>
      <c r="D145" s="1"/>
      <c r="E145" s="1"/>
      <c r="F145" s="1"/>
      <c r="G145" s="1"/>
      <c r="H145" s="1"/>
      <c r="I145" s="1"/>
    </row>
    <row r="146" ht="15.75" customHeight="1">
      <c r="A146" s="1"/>
      <c r="B146" s="1"/>
      <c r="C146" s="1"/>
      <c r="D146" s="1"/>
      <c r="E146" s="1"/>
      <c r="F146" s="1"/>
      <c r="G146" s="1"/>
      <c r="H146" s="1"/>
      <c r="I146" s="1"/>
    </row>
    <row r="147" ht="15.75" customHeight="1">
      <c r="A147" s="1"/>
      <c r="B147" s="1"/>
      <c r="C147" s="1"/>
      <c r="D147" s="1"/>
      <c r="E147" s="1"/>
      <c r="F147" s="1"/>
      <c r="G147" s="1"/>
      <c r="H147" s="1"/>
      <c r="I147" s="1"/>
    </row>
    <row r="148" ht="15.75" customHeight="1">
      <c r="A148" s="1"/>
      <c r="B148" s="1"/>
      <c r="C148" s="1"/>
      <c r="D148" s="1"/>
      <c r="E148" s="1"/>
      <c r="F148" s="1"/>
      <c r="G148" s="1"/>
      <c r="H148" s="1"/>
      <c r="I148" s="1"/>
    </row>
    <row r="149" ht="15.75" customHeight="1">
      <c r="A149" s="1"/>
      <c r="B149" s="1"/>
      <c r="C149" s="1"/>
      <c r="D149" s="1"/>
      <c r="E149" s="1"/>
      <c r="F149" s="1"/>
      <c r="G149" s="1"/>
      <c r="H149" s="1"/>
      <c r="I149" s="1"/>
    </row>
    <row r="150" ht="15.75" customHeight="1">
      <c r="A150" s="1"/>
      <c r="B150" s="1"/>
      <c r="C150" s="1"/>
      <c r="D150" s="1"/>
      <c r="E150" s="1"/>
      <c r="F150" s="1"/>
      <c r="G150" s="1"/>
      <c r="H150" s="1"/>
      <c r="I150" s="1"/>
    </row>
    <row r="151" ht="15.75" customHeight="1">
      <c r="A151" s="1"/>
      <c r="B151" s="1"/>
      <c r="C151" s="1"/>
      <c r="D151" s="1"/>
      <c r="E151" s="1"/>
      <c r="F151" s="1"/>
      <c r="G151" s="1"/>
      <c r="H151" s="1"/>
      <c r="I151" s="1"/>
    </row>
    <row r="152" ht="15.75" customHeight="1">
      <c r="A152" s="1"/>
      <c r="B152" s="1"/>
      <c r="C152" s="1"/>
      <c r="D152" s="1"/>
      <c r="E152" s="1"/>
      <c r="F152" s="1"/>
      <c r="G152" s="1"/>
      <c r="H152" s="1"/>
      <c r="I152" s="1"/>
    </row>
    <row r="153" ht="15.75" customHeight="1">
      <c r="A153" s="1"/>
      <c r="B153" s="1"/>
      <c r="C153" s="1"/>
      <c r="D153" s="1"/>
      <c r="E153" s="1"/>
      <c r="F153" s="1"/>
      <c r="G153" s="1"/>
      <c r="H153" s="1"/>
      <c r="I153" s="1"/>
    </row>
    <row r="154" ht="15.75" customHeight="1">
      <c r="A154" s="1"/>
      <c r="B154" s="1"/>
      <c r="C154" s="1"/>
      <c r="D154" s="1"/>
      <c r="E154" s="1"/>
      <c r="F154" s="1"/>
      <c r="G154" s="1"/>
      <c r="H154" s="1"/>
      <c r="I154" s="1"/>
    </row>
    <row r="155" ht="15.75" customHeight="1">
      <c r="A155" s="1"/>
      <c r="B155" s="1"/>
      <c r="C155" s="1"/>
      <c r="D155" s="1"/>
      <c r="E155" s="1"/>
      <c r="F155" s="1"/>
      <c r="G155" s="1"/>
      <c r="H155" s="1"/>
      <c r="I155" s="1"/>
    </row>
    <row r="156" ht="15.75" customHeight="1">
      <c r="A156" s="1"/>
      <c r="B156" s="1"/>
      <c r="C156" s="1"/>
      <c r="D156" s="1"/>
      <c r="E156" s="1"/>
      <c r="F156" s="1"/>
      <c r="G156" s="1"/>
      <c r="H156" s="1"/>
      <c r="I156" s="1"/>
    </row>
    <row r="157" ht="15.75" customHeight="1">
      <c r="A157" s="1"/>
      <c r="B157" s="1"/>
      <c r="C157" s="1"/>
      <c r="D157" s="1"/>
      <c r="E157" s="1"/>
      <c r="F157" s="1"/>
      <c r="G157" s="1"/>
      <c r="H157" s="1"/>
      <c r="I157" s="1"/>
    </row>
    <row r="158" ht="15.75" customHeight="1">
      <c r="A158" s="1"/>
      <c r="B158" s="1"/>
      <c r="C158" s="1"/>
      <c r="D158" s="1"/>
      <c r="E158" s="1"/>
      <c r="F158" s="1"/>
      <c r="G158" s="1"/>
      <c r="H158" s="1"/>
      <c r="I158" s="1"/>
    </row>
    <row r="159" ht="15.75" customHeight="1">
      <c r="A159" s="1"/>
      <c r="B159" s="1"/>
      <c r="C159" s="1"/>
      <c r="D159" s="1"/>
      <c r="E159" s="1"/>
      <c r="F159" s="1"/>
      <c r="G159" s="1"/>
      <c r="H159" s="1"/>
      <c r="I159" s="1"/>
    </row>
    <row r="160" ht="15.75" customHeight="1">
      <c r="A160" s="1"/>
      <c r="B160" s="1"/>
      <c r="C160" s="1"/>
      <c r="D160" s="1"/>
      <c r="E160" s="1"/>
      <c r="F160" s="1"/>
      <c r="G160" s="1"/>
      <c r="H160" s="1"/>
      <c r="I160" s="1"/>
    </row>
    <row r="161" ht="15.75" customHeight="1">
      <c r="A161" s="1"/>
      <c r="B161" s="1"/>
      <c r="C161" s="1"/>
      <c r="D161" s="1"/>
      <c r="E161" s="1"/>
      <c r="F161" s="1"/>
      <c r="G161" s="1"/>
      <c r="H161" s="1"/>
      <c r="I161" s="1"/>
    </row>
    <row r="162" ht="15.75" customHeight="1">
      <c r="A162" s="1"/>
      <c r="B162" s="1"/>
      <c r="C162" s="1"/>
      <c r="D162" s="1"/>
      <c r="E162" s="1"/>
      <c r="F162" s="1"/>
      <c r="G162" s="1"/>
      <c r="H162" s="1"/>
      <c r="I162" s="1"/>
    </row>
    <row r="163" ht="15.75" customHeight="1">
      <c r="A163" s="1"/>
      <c r="B163" s="1"/>
      <c r="C163" s="1"/>
      <c r="D163" s="1"/>
      <c r="E163" s="1"/>
      <c r="F163" s="1"/>
      <c r="G163" s="1"/>
      <c r="H163" s="1"/>
      <c r="I163" s="1"/>
    </row>
    <row r="164" ht="15.75" customHeight="1">
      <c r="A164" s="1"/>
      <c r="B164" s="1"/>
      <c r="C164" s="1"/>
      <c r="D164" s="1"/>
      <c r="E164" s="1"/>
      <c r="F164" s="1"/>
      <c r="G164" s="1"/>
      <c r="H164" s="1"/>
      <c r="I164" s="1"/>
    </row>
    <row r="165" ht="15.75" customHeight="1">
      <c r="A165" s="1"/>
      <c r="B165" s="1"/>
      <c r="C165" s="1"/>
      <c r="D165" s="1"/>
      <c r="E165" s="1"/>
      <c r="F165" s="1"/>
      <c r="G165" s="1"/>
      <c r="H165" s="1"/>
      <c r="I165" s="1"/>
    </row>
    <row r="166" ht="15.75" customHeight="1">
      <c r="A166" s="1"/>
      <c r="B166" s="1"/>
      <c r="C166" s="1"/>
      <c r="D166" s="1"/>
      <c r="E166" s="1"/>
      <c r="F166" s="1"/>
      <c r="G166" s="1"/>
      <c r="H166" s="1"/>
      <c r="I166" s="1"/>
    </row>
    <row r="167" ht="15.75" customHeight="1">
      <c r="A167" s="1"/>
      <c r="B167" s="1"/>
      <c r="C167" s="1"/>
      <c r="D167" s="1"/>
      <c r="E167" s="1"/>
      <c r="F167" s="1"/>
      <c r="G167" s="1"/>
      <c r="H167" s="1"/>
      <c r="I167" s="1"/>
    </row>
    <row r="168" ht="15.75" customHeight="1">
      <c r="A168" s="1"/>
      <c r="B168" s="1"/>
      <c r="C168" s="1"/>
      <c r="D168" s="1"/>
      <c r="E168" s="1"/>
      <c r="F168" s="1"/>
      <c r="G168" s="1"/>
      <c r="H168" s="1"/>
      <c r="I168" s="1"/>
    </row>
    <row r="169" ht="15.75" customHeight="1">
      <c r="A169" s="1"/>
      <c r="B169" s="1"/>
      <c r="C169" s="1"/>
      <c r="D169" s="1"/>
      <c r="E169" s="1"/>
      <c r="F169" s="1"/>
      <c r="G169" s="1"/>
      <c r="H169" s="1"/>
      <c r="I169" s="1"/>
    </row>
    <row r="170" ht="15.75" customHeight="1">
      <c r="A170" s="1"/>
      <c r="B170" s="1"/>
      <c r="C170" s="1"/>
      <c r="D170" s="1"/>
      <c r="E170" s="1"/>
      <c r="F170" s="1"/>
      <c r="G170" s="1"/>
      <c r="H170" s="1"/>
      <c r="I170" s="1"/>
    </row>
    <row r="171" ht="15.75" customHeight="1">
      <c r="A171" s="1"/>
      <c r="B171" s="1"/>
      <c r="C171" s="1"/>
      <c r="D171" s="1"/>
      <c r="E171" s="1"/>
      <c r="F171" s="1"/>
      <c r="G171" s="1"/>
      <c r="H171" s="1"/>
      <c r="I171" s="1"/>
    </row>
    <row r="172" ht="15.75" customHeight="1">
      <c r="A172" s="1"/>
      <c r="B172" s="1"/>
      <c r="C172" s="1"/>
      <c r="D172" s="1"/>
      <c r="E172" s="1"/>
      <c r="F172" s="1"/>
      <c r="G172" s="1"/>
      <c r="H172" s="1"/>
      <c r="I172" s="1"/>
    </row>
    <row r="173" ht="15.75" customHeight="1">
      <c r="A173" s="1"/>
      <c r="B173" s="1"/>
      <c r="C173" s="1"/>
      <c r="D173" s="1"/>
      <c r="E173" s="1"/>
      <c r="F173" s="1"/>
      <c r="G173" s="1"/>
      <c r="H173" s="1"/>
      <c r="I173" s="1"/>
    </row>
    <row r="174" ht="15.75" customHeight="1">
      <c r="A174" s="1"/>
      <c r="B174" s="1"/>
      <c r="C174" s="1"/>
      <c r="D174" s="1"/>
      <c r="E174" s="1"/>
      <c r="F174" s="1"/>
      <c r="G174" s="1"/>
      <c r="H174" s="1"/>
      <c r="I174" s="1"/>
    </row>
    <row r="175" ht="15.75" customHeight="1">
      <c r="A175" s="1"/>
      <c r="B175" s="1"/>
      <c r="C175" s="1"/>
      <c r="D175" s="1"/>
      <c r="E175" s="1"/>
      <c r="F175" s="1"/>
      <c r="G175" s="1"/>
      <c r="H175" s="1"/>
      <c r="I175" s="1"/>
    </row>
    <row r="176" ht="15.75" customHeight="1">
      <c r="A176" s="1"/>
      <c r="B176" s="1"/>
      <c r="C176" s="1"/>
      <c r="D176" s="1"/>
      <c r="E176" s="1"/>
      <c r="F176" s="1"/>
      <c r="G176" s="1"/>
      <c r="H176" s="1"/>
      <c r="I176" s="1"/>
    </row>
    <row r="177" ht="15.75" customHeight="1">
      <c r="A177" s="1"/>
      <c r="B177" s="1"/>
      <c r="C177" s="1"/>
      <c r="D177" s="1"/>
      <c r="E177" s="1"/>
      <c r="F177" s="1"/>
      <c r="G177" s="1"/>
      <c r="H177" s="1"/>
      <c r="I177" s="1"/>
    </row>
    <row r="178" ht="15.75" customHeight="1">
      <c r="A178" s="1"/>
      <c r="B178" s="1"/>
      <c r="C178" s="1"/>
      <c r="D178" s="1"/>
      <c r="E178" s="1"/>
      <c r="F178" s="1"/>
      <c r="G178" s="1"/>
      <c r="H178" s="1"/>
      <c r="I178" s="1"/>
    </row>
    <row r="179" ht="15.75" customHeight="1">
      <c r="A179" s="1"/>
      <c r="B179" s="1"/>
      <c r="C179" s="1"/>
      <c r="D179" s="1"/>
      <c r="E179" s="1"/>
      <c r="F179" s="1"/>
      <c r="G179" s="1"/>
      <c r="H179" s="1"/>
      <c r="I179" s="1"/>
    </row>
    <row r="180" ht="15.75" customHeight="1">
      <c r="A180" s="1"/>
      <c r="B180" s="1"/>
      <c r="C180" s="1"/>
      <c r="D180" s="1"/>
      <c r="E180" s="1"/>
      <c r="F180" s="1"/>
      <c r="G180" s="1"/>
      <c r="H180" s="1"/>
      <c r="I180" s="1"/>
    </row>
    <row r="181" ht="15.75" customHeight="1">
      <c r="A181" s="1"/>
      <c r="B181" s="1"/>
      <c r="C181" s="1"/>
      <c r="D181" s="1"/>
      <c r="E181" s="1"/>
      <c r="F181" s="1"/>
      <c r="G181" s="1"/>
      <c r="H181" s="1"/>
      <c r="I181" s="1"/>
    </row>
    <row r="182" ht="15.75" customHeight="1">
      <c r="A182" s="1"/>
      <c r="B182" s="1"/>
      <c r="C182" s="1"/>
      <c r="D182" s="1"/>
      <c r="E182" s="1"/>
      <c r="F182" s="1"/>
      <c r="G182" s="1"/>
      <c r="H182" s="1"/>
      <c r="I182" s="1"/>
    </row>
    <row r="183" ht="15.75" customHeight="1">
      <c r="A183" s="1"/>
      <c r="B183" s="1"/>
      <c r="C183" s="1"/>
      <c r="D183" s="1"/>
      <c r="E183" s="1"/>
      <c r="F183" s="1"/>
      <c r="G183" s="1"/>
      <c r="H183" s="1"/>
      <c r="I183" s="1"/>
    </row>
    <row r="184" ht="15.75" customHeight="1">
      <c r="A184" s="1"/>
      <c r="B184" s="1"/>
      <c r="C184" s="1"/>
      <c r="D184" s="1"/>
      <c r="E184" s="1"/>
      <c r="F184" s="1"/>
      <c r="G184" s="1"/>
      <c r="H184" s="1"/>
      <c r="I184" s="1"/>
    </row>
    <row r="185" ht="15.75" customHeight="1">
      <c r="A185" s="1"/>
      <c r="B185" s="1"/>
      <c r="C185" s="1"/>
      <c r="D185" s="1"/>
      <c r="E185" s="1"/>
      <c r="F185" s="1"/>
      <c r="G185" s="1"/>
      <c r="H185" s="1"/>
      <c r="I185" s="1"/>
    </row>
    <row r="186" ht="15.75" customHeight="1">
      <c r="A186" s="1"/>
      <c r="B186" s="1"/>
      <c r="C186" s="1"/>
      <c r="D186" s="1"/>
      <c r="E186" s="1"/>
      <c r="F186" s="1"/>
      <c r="G186" s="1"/>
      <c r="H186" s="1"/>
      <c r="I186" s="1"/>
    </row>
    <row r="187" ht="15.75" customHeight="1">
      <c r="A187" s="1"/>
      <c r="B187" s="1"/>
      <c r="C187" s="1"/>
      <c r="D187" s="1"/>
      <c r="E187" s="1"/>
      <c r="F187" s="1"/>
      <c r="G187" s="1"/>
      <c r="H187" s="1"/>
      <c r="I187" s="1"/>
    </row>
    <row r="188" ht="15.75" customHeight="1">
      <c r="A188" s="1"/>
      <c r="B188" s="1"/>
      <c r="C188" s="1"/>
      <c r="D188" s="1"/>
      <c r="E188" s="1"/>
      <c r="F188" s="1"/>
      <c r="G188" s="1"/>
      <c r="H188" s="1"/>
      <c r="I188" s="1"/>
    </row>
    <row r="189" ht="15.75" customHeight="1">
      <c r="A189" s="1"/>
      <c r="B189" s="1"/>
      <c r="C189" s="1"/>
      <c r="D189" s="1"/>
      <c r="E189" s="1"/>
      <c r="F189" s="1"/>
      <c r="G189" s="1"/>
      <c r="H189" s="1"/>
      <c r="I189" s="1"/>
    </row>
    <row r="190" ht="15.75" customHeight="1">
      <c r="A190" s="1"/>
      <c r="B190" s="1"/>
      <c r="C190" s="1"/>
      <c r="D190" s="1"/>
      <c r="E190" s="1"/>
      <c r="F190" s="1"/>
      <c r="G190" s="1"/>
      <c r="H190" s="1"/>
      <c r="I190" s="1"/>
    </row>
    <row r="191" ht="15.75" customHeight="1">
      <c r="A191" s="1"/>
      <c r="B191" s="1"/>
      <c r="C191" s="1"/>
      <c r="D191" s="1"/>
      <c r="E191" s="1"/>
      <c r="F191" s="1"/>
      <c r="G191" s="1"/>
      <c r="H191" s="1"/>
      <c r="I191" s="1"/>
    </row>
    <row r="192" ht="15.75" customHeight="1">
      <c r="A192" s="1"/>
      <c r="B192" s="1"/>
      <c r="C192" s="1"/>
      <c r="D192" s="1"/>
      <c r="E192" s="1"/>
      <c r="F192" s="1"/>
      <c r="G192" s="1"/>
      <c r="H192" s="1"/>
      <c r="I192" s="1"/>
    </row>
    <row r="193" ht="15.75" customHeight="1">
      <c r="A193" s="1"/>
      <c r="B193" s="1"/>
      <c r="C193" s="1"/>
      <c r="D193" s="1"/>
      <c r="E193" s="1"/>
      <c r="F193" s="1"/>
      <c r="G193" s="1"/>
      <c r="H193" s="1"/>
      <c r="I193" s="1"/>
    </row>
    <row r="194" ht="15.75" customHeight="1">
      <c r="A194" s="1"/>
      <c r="B194" s="1"/>
      <c r="C194" s="1"/>
      <c r="D194" s="1"/>
      <c r="E194" s="1"/>
      <c r="F194" s="1"/>
      <c r="G194" s="1"/>
      <c r="H194" s="1"/>
      <c r="I194" s="1"/>
    </row>
    <row r="195" ht="15.75" customHeight="1">
      <c r="A195" s="1"/>
      <c r="B195" s="1"/>
      <c r="C195" s="1"/>
      <c r="D195" s="1"/>
      <c r="E195" s="1"/>
      <c r="F195" s="1"/>
      <c r="G195" s="1"/>
      <c r="H195" s="1"/>
      <c r="I195" s="1"/>
    </row>
    <row r="196" ht="15.75" customHeight="1">
      <c r="A196" s="1"/>
      <c r="B196" s="1"/>
      <c r="C196" s="1"/>
      <c r="D196" s="1"/>
      <c r="E196" s="1"/>
      <c r="F196" s="1"/>
      <c r="G196" s="1"/>
      <c r="H196" s="1"/>
      <c r="I196" s="1"/>
    </row>
    <row r="197" ht="15.75" customHeight="1">
      <c r="A197" s="1"/>
      <c r="B197" s="1"/>
      <c r="C197" s="1"/>
      <c r="D197" s="1"/>
      <c r="E197" s="1"/>
      <c r="F197" s="1"/>
      <c r="G197" s="1"/>
      <c r="H197" s="1"/>
      <c r="I197" s="1"/>
    </row>
    <row r="198" ht="15.75" customHeight="1">
      <c r="A198" s="1"/>
      <c r="B198" s="1"/>
      <c r="C198" s="1"/>
      <c r="D198" s="1"/>
      <c r="E198" s="1"/>
      <c r="F198" s="1"/>
      <c r="G198" s="1"/>
      <c r="H198" s="1"/>
      <c r="I198" s="1"/>
    </row>
    <row r="199" ht="15.75" customHeight="1">
      <c r="A199" s="1"/>
      <c r="B199" s="1"/>
      <c r="C199" s="1"/>
      <c r="D199" s="1"/>
      <c r="E199" s="1"/>
      <c r="F199" s="1"/>
      <c r="G199" s="1"/>
      <c r="H199" s="1"/>
      <c r="I199" s="1"/>
    </row>
    <row r="200" ht="15.75" customHeight="1">
      <c r="A200" s="1"/>
      <c r="B200" s="1"/>
      <c r="C200" s="1"/>
      <c r="D200" s="1"/>
      <c r="E200" s="1"/>
      <c r="F200" s="1"/>
      <c r="G200" s="1"/>
      <c r="H200" s="1"/>
      <c r="I200" s="1"/>
    </row>
    <row r="201" ht="15.75" customHeight="1">
      <c r="A201" s="1"/>
      <c r="B201" s="1"/>
      <c r="C201" s="1"/>
      <c r="D201" s="1"/>
      <c r="E201" s="1"/>
      <c r="F201" s="1"/>
      <c r="G201" s="1"/>
      <c r="H201" s="1"/>
      <c r="I201" s="1"/>
    </row>
    <row r="202" ht="15.75" customHeight="1">
      <c r="A202" s="1"/>
      <c r="B202" s="1"/>
      <c r="C202" s="1"/>
      <c r="D202" s="1"/>
      <c r="E202" s="1"/>
      <c r="F202" s="1"/>
      <c r="G202" s="1"/>
      <c r="H202" s="1"/>
      <c r="I202" s="1"/>
    </row>
    <row r="203" ht="15.75" customHeight="1">
      <c r="A203" s="1"/>
      <c r="B203" s="1"/>
      <c r="C203" s="1"/>
      <c r="D203" s="1"/>
      <c r="E203" s="1"/>
      <c r="F203" s="1"/>
      <c r="G203" s="1"/>
      <c r="H203" s="1"/>
      <c r="I203" s="1"/>
    </row>
    <row r="204" ht="15.75" customHeight="1">
      <c r="A204" s="1"/>
      <c r="B204" s="1"/>
      <c r="C204" s="1"/>
      <c r="D204" s="1"/>
      <c r="E204" s="1"/>
      <c r="F204" s="1"/>
      <c r="G204" s="1"/>
      <c r="H204" s="1"/>
      <c r="I204" s="1"/>
    </row>
    <row r="205" ht="15.75" customHeight="1">
      <c r="A205" s="1"/>
      <c r="B205" s="1"/>
      <c r="C205" s="1"/>
      <c r="D205" s="1"/>
      <c r="E205" s="1"/>
      <c r="F205" s="1"/>
      <c r="G205" s="1"/>
      <c r="H205" s="1"/>
      <c r="I205" s="1"/>
    </row>
    <row r="206" ht="15.75" customHeight="1">
      <c r="A206" s="1"/>
      <c r="B206" s="1"/>
      <c r="C206" s="1"/>
      <c r="D206" s="1"/>
      <c r="E206" s="1"/>
      <c r="F206" s="1"/>
      <c r="G206" s="1"/>
      <c r="H206" s="1"/>
      <c r="I206" s="1"/>
    </row>
    <row r="207" ht="15.75" customHeight="1">
      <c r="A207" s="1"/>
      <c r="B207" s="1"/>
      <c r="C207" s="1"/>
      <c r="D207" s="1"/>
      <c r="E207" s="1"/>
      <c r="F207" s="1"/>
      <c r="G207" s="1"/>
      <c r="H207" s="1"/>
      <c r="I207" s="1"/>
    </row>
    <row r="208" ht="15.75" customHeight="1">
      <c r="A208" s="1"/>
      <c r="B208" s="1"/>
      <c r="C208" s="1"/>
      <c r="D208" s="1"/>
      <c r="E208" s="1"/>
      <c r="F208" s="1"/>
      <c r="G208" s="1"/>
      <c r="H208" s="1"/>
      <c r="I208" s="1"/>
    </row>
    <row r="209" ht="15.75" customHeight="1">
      <c r="A209" s="1"/>
      <c r="B209" s="1"/>
      <c r="C209" s="1"/>
      <c r="D209" s="1"/>
      <c r="E209" s="1"/>
      <c r="F209" s="1"/>
      <c r="G209" s="1"/>
      <c r="H209" s="1"/>
      <c r="I209" s="1"/>
    </row>
    <row r="210" ht="15.75" customHeight="1">
      <c r="A210" s="1"/>
      <c r="B210" s="1"/>
      <c r="C210" s="1"/>
      <c r="D210" s="1"/>
      <c r="E210" s="1"/>
      <c r="F210" s="1"/>
      <c r="G210" s="1"/>
      <c r="H210" s="1"/>
      <c r="I210" s="1"/>
    </row>
    <row r="211" ht="15.75" customHeight="1">
      <c r="A211" s="1"/>
      <c r="B211" s="1"/>
      <c r="C211" s="1"/>
      <c r="D211" s="1"/>
      <c r="E211" s="1"/>
      <c r="F211" s="1"/>
      <c r="G211" s="1"/>
      <c r="H211" s="1"/>
      <c r="I211" s="1"/>
    </row>
    <row r="212" ht="15.75" customHeight="1">
      <c r="A212" s="1"/>
      <c r="B212" s="1"/>
      <c r="C212" s="1"/>
      <c r="D212" s="1"/>
      <c r="E212" s="1"/>
      <c r="F212" s="1"/>
      <c r="G212" s="1"/>
      <c r="H212" s="1"/>
      <c r="I212" s="1"/>
    </row>
    <row r="213" ht="15.75" customHeight="1">
      <c r="A213" s="1"/>
      <c r="B213" s="1"/>
      <c r="C213" s="1"/>
      <c r="D213" s="1"/>
      <c r="E213" s="1"/>
      <c r="F213" s="1"/>
      <c r="G213" s="1"/>
      <c r="H213" s="1"/>
      <c r="I213" s="1"/>
    </row>
    <row r="214" ht="15.75" customHeight="1">
      <c r="A214" s="1"/>
      <c r="B214" s="1"/>
      <c r="C214" s="1"/>
      <c r="D214" s="1"/>
      <c r="E214" s="1"/>
      <c r="F214" s="1"/>
      <c r="G214" s="1"/>
      <c r="H214" s="1"/>
      <c r="I214" s="1"/>
    </row>
    <row r="215" ht="15.75" customHeight="1">
      <c r="A215" s="1"/>
      <c r="B215" s="1"/>
      <c r="C215" s="1"/>
      <c r="D215" s="1"/>
      <c r="E215" s="1"/>
      <c r="F215" s="1"/>
      <c r="G215" s="1"/>
      <c r="H215" s="1"/>
      <c r="I215" s="1"/>
    </row>
    <row r="216" ht="15.75" customHeight="1">
      <c r="A216" s="1"/>
      <c r="B216" s="1"/>
      <c r="C216" s="1"/>
      <c r="D216" s="1"/>
      <c r="E216" s="1"/>
      <c r="F216" s="1"/>
      <c r="G216" s="1"/>
      <c r="H216" s="1"/>
      <c r="I216" s="1"/>
    </row>
    <row r="217" ht="15.75" customHeight="1">
      <c r="A217" s="1"/>
      <c r="B217" s="1"/>
      <c r="C217" s="1"/>
      <c r="D217" s="1"/>
      <c r="E217" s="1"/>
      <c r="F217" s="1"/>
      <c r="G217" s="1"/>
      <c r="H217" s="1"/>
      <c r="I217" s="1"/>
    </row>
    <row r="218" ht="15.75" customHeight="1">
      <c r="A218" s="1"/>
      <c r="B218" s="1"/>
      <c r="C218" s="1"/>
      <c r="D218" s="1"/>
      <c r="E218" s="1"/>
      <c r="F218" s="1"/>
      <c r="G218" s="1"/>
      <c r="H218" s="1"/>
      <c r="I218" s="1"/>
    </row>
    <row r="219" ht="15.75" customHeight="1">
      <c r="A219" s="1"/>
      <c r="B219" s="1"/>
      <c r="C219" s="1"/>
      <c r="D219" s="1"/>
      <c r="E219" s="1"/>
      <c r="F219" s="1"/>
      <c r="G219" s="1"/>
      <c r="H219" s="1"/>
      <c r="I219" s="1"/>
    </row>
    <row r="220" ht="15.75" customHeight="1">
      <c r="A220" s="1"/>
      <c r="B220" s="1"/>
      <c r="C220" s="1"/>
      <c r="D220" s="1"/>
      <c r="E220" s="1"/>
      <c r="F220" s="1"/>
      <c r="G220" s="1"/>
      <c r="H220" s="1"/>
      <c r="I220" s="1"/>
    </row>
    <row r="221" ht="15.75" customHeight="1">
      <c r="A221" s="1"/>
      <c r="B221" s="1"/>
      <c r="C221" s="1"/>
      <c r="D221" s="1"/>
      <c r="E221" s="1"/>
      <c r="F221" s="1"/>
      <c r="G221" s="1"/>
      <c r="H221" s="1"/>
      <c r="I221" s="1"/>
    </row>
    <row r="222" ht="15.75" customHeight="1">
      <c r="A222" s="1"/>
      <c r="B222" s="1"/>
      <c r="C222" s="1"/>
      <c r="D222" s="1"/>
      <c r="E222" s="1"/>
      <c r="F222" s="1"/>
      <c r="G222" s="1"/>
      <c r="H222" s="1"/>
      <c r="I222" s="1"/>
    </row>
    <row r="223" ht="15.75" customHeight="1">
      <c r="A223" s="1"/>
      <c r="B223" s="1"/>
      <c r="C223" s="1"/>
      <c r="D223" s="1"/>
      <c r="E223" s="1"/>
      <c r="F223" s="1"/>
      <c r="G223" s="1"/>
      <c r="H223" s="1"/>
      <c r="I223" s="1"/>
    </row>
    <row r="224" ht="15.75" customHeight="1">
      <c r="A224" s="1"/>
      <c r="B224" s="1"/>
      <c r="C224" s="1"/>
      <c r="D224" s="1"/>
      <c r="E224" s="1"/>
      <c r="F224" s="1"/>
      <c r="G224" s="1"/>
      <c r="H224" s="1"/>
      <c r="I224" s="1"/>
    </row>
    <row r="225" ht="15.75" customHeight="1">
      <c r="A225" s="1"/>
      <c r="B225" s="1"/>
      <c r="C225" s="1"/>
      <c r="D225" s="1"/>
      <c r="E225" s="1"/>
      <c r="F225" s="1"/>
      <c r="G225" s="1"/>
      <c r="H225" s="1"/>
      <c r="I225" s="1"/>
    </row>
    <row r="226" ht="15.75" customHeight="1">
      <c r="A226" s="1"/>
      <c r="B226" s="1"/>
      <c r="C226" s="1"/>
      <c r="D226" s="1"/>
      <c r="E226" s="1"/>
      <c r="F226" s="1"/>
      <c r="G226" s="1"/>
      <c r="H226" s="1"/>
      <c r="I226" s="1"/>
    </row>
    <row r="227" ht="15.75" customHeight="1">
      <c r="A227" s="1"/>
      <c r="B227" s="1"/>
      <c r="C227" s="1"/>
      <c r="D227" s="1"/>
      <c r="E227" s="1"/>
      <c r="F227" s="1"/>
      <c r="G227" s="1"/>
      <c r="H227" s="1"/>
      <c r="I227" s="1"/>
    </row>
    <row r="228" ht="15.75" customHeight="1">
      <c r="A228" s="1"/>
      <c r="B228" s="1"/>
      <c r="C228" s="1"/>
      <c r="D228" s="1"/>
      <c r="E228" s="1"/>
      <c r="F228" s="1"/>
      <c r="G228" s="1"/>
      <c r="H228" s="1"/>
      <c r="I228" s="1"/>
    </row>
    <row r="229" ht="15.75" customHeight="1">
      <c r="A229" s="1"/>
      <c r="B229" s="1"/>
      <c r="C229" s="1"/>
      <c r="D229" s="1"/>
      <c r="E229" s="1"/>
      <c r="F229" s="1"/>
      <c r="G229" s="1"/>
      <c r="H229" s="1"/>
      <c r="I229" s="1"/>
    </row>
    <row r="230" ht="15.75" customHeight="1">
      <c r="A230" s="1"/>
      <c r="B230" s="1"/>
      <c r="C230" s="1"/>
      <c r="D230" s="1"/>
      <c r="E230" s="1"/>
      <c r="F230" s="1"/>
      <c r="G230" s="1"/>
      <c r="H230" s="1"/>
      <c r="I230" s="1"/>
    </row>
    <row r="231" ht="15.75" customHeight="1">
      <c r="A231" s="1"/>
      <c r="B231" s="1"/>
      <c r="C231" s="1"/>
      <c r="D231" s="1"/>
      <c r="E231" s="1"/>
      <c r="F231" s="1"/>
      <c r="G231" s="1"/>
      <c r="H231" s="1"/>
      <c r="I231" s="1"/>
    </row>
    <row r="232" ht="15.75" customHeight="1">
      <c r="A232" s="1"/>
      <c r="B232" s="1"/>
      <c r="C232" s="1"/>
      <c r="D232" s="1"/>
      <c r="E232" s="1"/>
      <c r="F232" s="1"/>
      <c r="G232" s="1"/>
      <c r="H232" s="1"/>
      <c r="I232" s="1"/>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21:G21"/>
    <mergeCell ref="C25:G25"/>
    <mergeCell ref="B27:G27"/>
    <mergeCell ref="C28:G28"/>
    <mergeCell ref="C29:G29"/>
    <mergeCell ref="B31:G31"/>
    <mergeCell ref="B32:G32"/>
    <mergeCell ref="B1:G1"/>
    <mergeCell ref="B3:G3"/>
    <mergeCell ref="C4:D4"/>
    <mergeCell ref="C5:D5"/>
    <mergeCell ref="C6:D6"/>
    <mergeCell ref="C7:D7"/>
    <mergeCell ref="B9:G9"/>
  </mergeCells>
  <conditionalFormatting sqref="C6:D6">
    <cfRule type="cellIs" dxfId="6" priority="1" operator="greaterThanOrEqual">
      <formula>0</formula>
    </cfRule>
  </conditionalFormatting>
  <conditionalFormatting sqref="C6:D6">
    <cfRule type="cellIs" dxfId="7" priority="2" operator="lessThan">
      <formula>0</formula>
    </cfRule>
  </conditionalFormatting>
  <conditionalFormatting sqref="D11:D19">
    <cfRule type="expression" dxfId="6" priority="3">
      <formula>AND($E11&lt;&gt;"",$F11="Max",$D11&lt;=$E11)</formula>
    </cfRule>
  </conditionalFormatting>
  <conditionalFormatting sqref="D11:D19">
    <cfRule type="expression" dxfId="7" priority="4">
      <formula>AND($E11&lt;&gt;"",$F11="Max",$D11&gt;$E11)</formula>
    </cfRule>
  </conditionalFormatting>
  <conditionalFormatting sqref="D11:D19">
    <cfRule type="expression" dxfId="6" priority="5">
      <formula>AND($E11&lt;&gt;"",$F11="Min",$D11&gt;=$E11)</formula>
    </cfRule>
  </conditionalFormatting>
  <conditionalFormatting sqref="D11:D19">
    <cfRule type="expression" dxfId="8" priority="6">
      <formula>AND($E11&lt;&gt;"",$F11="Min",$D11&lt;$E11)</formula>
    </cfRule>
  </conditionalFormatting>
  <dataValidations>
    <dataValidation type="list" allowBlank="1" sqref="F11:F19">
      <formula1>"Max,Min"</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1" ht="15.0" customHeight="1">
      <c r="A1" s="86" t="s">
        <v>25</v>
      </c>
      <c r="B1" s="86" t="s">
        <v>28</v>
      </c>
      <c r="C1" s="1"/>
      <c r="D1" s="86" t="s">
        <v>109</v>
      </c>
      <c r="E1" s="1"/>
      <c r="F1" s="86" t="s">
        <v>105</v>
      </c>
      <c r="G1" s="1"/>
      <c r="H1" s="1"/>
    </row>
    <row r="2" ht="15.0" customHeight="1">
      <c r="A2" s="86" t="s">
        <v>37</v>
      </c>
      <c r="B2" s="86" t="s">
        <v>140</v>
      </c>
      <c r="C2" s="1"/>
      <c r="D2" s="86" t="s">
        <v>106</v>
      </c>
      <c r="E2" s="1"/>
      <c r="F2" s="86" t="s">
        <v>108</v>
      </c>
      <c r="G2" s="1"/>
      <c r="H2" s="1"/>
    </row>
    <row r="3" ht="15.0" customHeight="1">
      <c r="A3" s="86" t="s">
        <v>77</v>
      </c>
      <c r="B3" s="86" t="s">
        <v>141</v>
      </c>
      <c r="C3" s="1"/>
      <c r="D3" s="1"/>
      <c r="E3" s="1"/>
      <c r="F3" s="1"/>
      <c r="G3" s="1"/>
      <c r="H3" s="1"/>
    </row>
    <row r="4" ht="15.0" customHeight="1">
      <c r="A4" s="86" t="s">
        <v>85</v>
      </c>
      <c r="B4" s="86" t="s">
        <v>39</v>
      </c>
      <c r="C4" s="1"/>
      <c r="D4" s="1"/>
      <c r="E4" s="1"/>
      <c r="F4" s="1"/>
      <c r="G4" s="1"/>
      <c r="H4" s="1"/>
    </row>
    <row r="5" ht="15.0" customHeight="1">
      <c r="A5" s="1"/>
      <c r="B5" s="86" t="s">
        <v>47</v>
      </c>
      <c r="C5" s="1"/>
      <c r="D5" s="1"/>
      <c r="E5" s="1"/>
      <c r="F5" s="1"/>
      <c r="G5" s="1"/>
      <c r="H5" s="1"/>
    </row>
    <row r="6" ht="15.0" customHeight="1">
      <c r="A6" s="1"/>
      <c r="B6" s="86" t="s">
        <v>57</v>
      </c>
      <c r="C6" s="1"/>
      <c r="D6" s="1"/>
      <c r="E6" s="1"/>
      <c r="F6" s="1"/>
      <c r="G6" s="1"/>
      <c r="H6" s="1"/>
    </row>
    <row r="7" ht="15.0" customHeight="1">
      <c r="A7" s="1"/>
      <c r="B7" s="86" t="s">
        <v>59</v>
      </c>
      <c r="C7" s="1"/>
      <c r="D7" s="1"/>
      <c r="E7" s="1"/>
      <c r="F7" s="1"/>
      <c r="G7" s="1"/>
      <c r="H7" s="1"/>
    </row>
    <row r="8" ht="15.0" customHeight="1">
      <c r="A8" s="1"/>
      <c r="B8" s="86" t="s">
        <v>64</v>
      </c>
      <c r="C8" s="1"/>
      <c r="D8" s="1"/>
      <c r="E8" s="1"/>
      <c r="F8" s="1"/>
      <c r="G8" s="1"/>
      <c r="H8" s="1"/>
    </row>
    <row r="9" ht="15.0" customHeight="1">
      <c r="A9" s="1"/>
      <c r="B9" s="86" t="s">
        <v>136</v>
      </c>
      <c r="C9" s="1"/>
      <c r="D9" s="1"/>
      <c r="E9" s="1"/>
      <c r="F9" s="1"/>
      <c r="G9" s="1"/>
      <c r="H9" s="1"/>
    </row>
    <row r="10" ht="15.0" customHeight="1">
      <c r="A10" s="1"/>
      <c r="B10" s="86" t="s">
        <v>74</v>
      </c>
      <c r="C10" s="1"/>
      <c r="D10" s="1"/>
      <c r="E10" s="1"/>
      <c r="F10" s="1"/>
      <c r="G10" s="1"/>
      <c r="H10" s="1"/>
    </row>
    <row r="11" ht="15.0" customHeight="1">
      <c r="A11" s="1"/>
      <c r="B11" s="86" t="s">
        <v>137</v>
      </c>
      <c r="C11" s="1"/>
      <c r="D11" s="1"/>
      <c r="E11" s="1"/>
      <c r="F11" s="1"/>
      <c r="G11" s="1"/>
      <c r="H11" s="1"/>
    </row>
    <row r="12" ht="15.0" customHeight="1">
      <c r="A12" s="1"/>
      <c r="B12" s="86" t="s">
        <v>78</v>
      </c>
      <c r="C12" s="1"/>
      <c r="D12" s="1"/>
      <c r="E12" s="1"/>
      <c r="F12" s="1"/>
      <c r="G12" s="1"/>
      <c r="H12" s="1"/>
    </row>
    <row r="13" ht="15.0" customHeight="1">
      <c r="A13" s="1"/>
      <c r="B13" s="86" t="s">
        <v>81</v>
      </c>
      <c r="C13" s="1"/>
      <c r="D13" s="1"/>
      <c r="E13" s="1"/>
      <c r="F13" s="1"/>
      <c r="G13" s="1"/>
      <c r="H13" s="1"/>
    </row>
    <row r="14" ht="15.0" customHeight="1">
      <c r="A14" s="1"/>
      <c r="B14" s="86" t="s">
        <v>83</v>
      </c>
      <c r="C14" s="1"/>
      <c r="D14" s="1"/>
      <c r="E14" s="1"/>
      <c r="F14" s="1"/>
      <c r="G14" s="1"/>
      <c r="H14" s="1"/>
    </row>
    <row r="15" ht="15.0" customHeight="1">
      <c r="A15" s="1"/>
      <c r="B15" s="86" t="s">
        <v>144</v>
      </c>
      <c r="C15" s="1"/>
      <c r="D15" s="1"/>
      <c r="E15" s="1"/>
      <c r="F15" s="1"/>
      <c r="G15" s="1"/>
      <c r="H15" s="1"/>
    </row>
    <row r="16" ht="15.0" customHeight="1">
      <c r="A16" s="1"/>
      <c r="B16" s="86" t="s">
        <v>145</v>
      </c>
      <c r="C16" s="1"/>
      <c r="D16" s="1"/>
      <c r="E16" s="1"/>
      <c r="F16" s="1"/>
      <c r="G16" s="1"/>
      <c r="H16" s="1"/>
    </row>
    <row r="17" ht="15.0" customHeight="1">
      <c r="A17" s="1"/>
      <c r="B17" s="86" t="s">
        <v>146</v>
      </c>
      <c r="C17" s="1"/>
      <c r="D17" s="1"/>
      <c r="E17" s="1"/>
      <c r="F17" s="1"/>
      <c r="G17" s="1"/>
      <c r="H17" s="1"/>
    </row>
    <row r="18" ht="15.0" customHeight="1">
      <c r="A18" s="1"/>
      <c r="B18" s="86" t="s">
        <v>72</v>
      </c>
      <c r="C18" s="1"/>
      <c r="D18" s="1"/>
      <c r="E18" s="1"/>
      <c r="F18" s="1"/>
      <c r="G18" s="1"/>
      <c r="H18" s="1"/>
    </row>
    <row r="19" ht="15.0" customHeight="1">
      <c r="A19" s="1"/>
      <c r="B19" s="86" t="s">
        <v>87</v>
      </c>
      <c r="C19" s="1"/>
      <c r="D19" s="1"/>
      <c r="E19" s="1"/>
      <c r="F19" s="1"/>
      <c r="G19" s="1"/>
      <c r="H19" s="1"/>
    </row>
    <row r="20" ht="15.0" customHeight="1">
      <c r="A20" s="1"/>
      <c r="B20" s="86" t="s">
        <v>148</v>
      </c>
      <c r="C20" s="1"/>
      <c r="D20" s="1"/>
      <c r="E20" s="1"/>
      <c r="F20" s="1"/>
      <c r="G20" s="1"/>
      <c r="H20" s="1"/>
    </row>
    <row r="21" ht="15.75" customHeight="1">
      <c r="A21" s="1"/>
      <c r="B21" s="86" t="s">
        <v>86</v>
      </c>
      <c r="C21" s="1"/>
      <c r="D21" s="1"/>
      <c r="E21" s="1"/>
      <c r="F21" s="1"/>
      <c r="G21" s="1"/>
      <c r="H21" s="1"/>
    </row>
    <row r="22" ht="15.75" customHeight="1">
      <c r="A22" s="1"/>
      <c r="B22" s="86"/>
      <c r="C22" s="1"/>
      <c r="D22" s="1"/>
      <c r="E22" s="1"/>
      <c r="F22" s="1"/>
      <c r="G22" s="1"/>
      <c r="H22" s="1"/>
    </row>
    <row r="23" ht="15.75" customHeight="1">
      <c r="A23" s="1"/>
      <c r="B23" s="1"/>
      <c r="C23" s="1"/>
      <c r="D23" s="1"/>
      <c r="E23" s="1"/>
      <c r="F23" s="1"/>
      <c r="G23" s="1"/>
      <c r="H23" s="1"/>
    </row>
    <row r="24" ht="15.75" customHeight="1">
      <c r="A24" s="1"/>
      <c r="B24" s="1"/>
      <c r="C24" s="1"/>
      <c r="D24" s="1"/>
      <c r="E24" s="1"/>
      <c r="F24" s="1"/>
      <c r="G24" s="1"/>
      <c r="H24" s="1"/>
    </row>
    <row r="25" ht="15.75" customHeight="1">
      <c r="A25" s="1"/>
      <c r="B25" s="1"/>
      <c r="C25" s="1"/>
      <c r="D25" s="1"/>
      <c r="E25" s="1"/>
      <c r="F25" s="1"/>
      <c r="G25" s="1"/>
      <c r="H25" s="1"/>
    </row>
    <row r="26" ht="15.75" customHeight="1">
      <c r="A26" s="1"/>
      <c r="B26" s="1"/>
      <c r="C26" s="1"/>
      <c r="D26" s="1"/>
      <c r="E26" s="1"/>
      <c r="F26" s="1"/>
      <c r="G26" s="1"/>
      <c r="H26" s="1"/>
    </row>
    <row r="27" ht="15.75" customHeight="1">
      <c r="A27" s="1"/>
      <c r="B27" s="1"/>
      <c r="C27" s="1"/>
      <c r="D27" s="1"/>
      <c r="E27" s="1"/>
      <c r="F27" s="1"/>
    </row>
    <row r="28" ht="15.75" customHeight="1">
      <c r="A28" s="1"/>
      <c r="B28" s="1"/>
      <c r="C28" s="1"/>
      <c r="D28" s="1"/>
      <c r="E28" s="1"/>
      <c r="F28" s="1"/>
    </row>
    <row r="29" ht="15.75" customHeight="1">
      <c r="A29" s="1"/>
      <c r="B29" s="1"/>
      <c r="C29" s="1"/>
      <c r="D29" s="1"/>
      <c r="E29" s="1"/>
      <c r="F29" s="1"/>
    </row>
    <row r="30" ht="15.75" customHeight="1">
      <c r="A30" s="1"/>
      <c r="B30" s="1"/>
      <c r="C30" s="1"/>
      <c r="D30" s="1"/>
      <c r="E30" s="1"/>
      <c r="F30" s="1"/>
    </row>
    <row r="31" ht="15.75" customHeight="1">
      <c r="A31" s="1"/>
      <c r="B31" s="1"/>
      <c r="C31" s="1"/>
      <c r="D31" s="1"/>
      <c r="E31" s="1"/>
      <c r="F31" s="1"/>
    </row>
    <row r="32" ht="15.75" customHeight="1">
      <c r="A32" s="1"/>
      <c r="B32" s="1"/>
      <c r="C32" s="1"/>
      <c r="D32" s="1"/>
      <c r="E32" s="1"/>
      <c r="F32" s="1"/>
    </row>
    <row r="33" ht="15.75" customHeight="1">
      <c r="A33" s="1"/>
      <c r="B33" s="1"/>
      <c r="C33" s="1"/>
      <c r="D33" s="1"/>
      <c r="E33" s="1"/>
      <c r="F33" s="1"/>
    </row>
    <row r="34" ht="15.75" customHeight="1">
      <c r="A34" s="1"/>
      <c r="B34" s="1"/>
      <c r="C34" s="1"/>
      <c r="D34" s="1"/>
      <c r="E34" s="1"/>
      <c r="F34" s="1"/>
    </row>
    <row r="35" ht="15.75" customHeight="1">
      <c r="A35" s="1"/>
      <c r="B35" s="1"/>
      <c r="C35" s="1"/>
      <c r="D35" s="1"/>
      <c r="E35" s="1"/>
      <c r="F35" s="1"/>
    </row>
    <row r="36" ht="15.75" customHeight="1">
      <c r="A36" s="1"/>
      <c r="B36" s="1"/>
      <c r="C36" s="1"/>
      <c r="D36" s="1"/>
      <c r="E36" s="1"/>
      <c r="F36" s="1"/>
    </row>
    <row r="37" ht="15.75" customHeight="1">
      <c r="A37" s="1"/>
      <c r="B37" s="1"/>
      <c r="C37" s="1"/>
      <c r="D37" s="1"/>
      <c r="E37" s="1"/>
      <c r="F37" s="1"/>
    </row>
    <row r="38" ht="15.75" customHeight="1">
      <c r="A38" s="1"/>
      <c r="B38" s="1"/>
      <c r="C38" s="1"/>
      <c r="D38" s="1"/>
      <c r="E38" s="1"/>
      <c r="F38" s="1"/>
    </row>
    <row r="39" ht="15.75" customHeight="1">
      <c r="A39" s="1"/>
      <c r="B39" s="1"/>
      <c r="C39" s="1"/>
      <c r="D39" s="1"/>
      <c r="E39" s="1"/>
      <c r="F39" s="1"/>
    </row>
    <row r="40" ht="15.75" customHeight="1">
      <c r="A40" s="1"/>
      <c r="B40" s="1"/>
      <c r="C40" s="1"/>
      <c r="D40" s="1"/>
      <c r="E40" s="1"/>
      <c r="F40" s="1"/>
    </row>
    <row r="41" ht="15.75" customHeight="1">
      <c r="A41" s="1"/>
      <c r="B41" s="1"/>
      <c r="C41" s="1"/>
      <c r="D41" s="1"/>
      <c r="E41" s="1"/>
      <c r="F41" s="1"/>
    </row>
    <row r="42" ht="15.75" customHeight="1">
      <c r="A42" s="1"/>
      <c r="B42" s="1"/>
      <c r="C42" s="1"/>
      <c r="D42" s="1"/>
      <c r="E42" s="1"/>
      <c r="F42" s="1"/>
    </row>
    <row r="43" ht="15.75" customHeight="1">
      <c r="A43" s="1"/>
      <c r="B43" s="1"/>
      <c r="C43" s="1"/>
      <c r="D43" s="1"/>
      <c r="E43" s="1"/>
      <c r="F43" s="1"/>
    </row>
    <row r="44" ht="15.75" customHeight="1">
      <c r="A44" s="1"/>
      <c r="B44" s="1"/>
      <c r="C44" s="1"/>
      <c r="D44" s="1"/>
      <c r="E44" s="1"/>
      <c r="F44" s="1"/>
    </row>
    <row r="45" ht="15.75" customHeight="1">
      <c r="A45" s="1"/>
      <c r="B45" s="1"/>
      <c r="C45" s="1"/>
      <c r="D45" s="1"/>
      <c r="E45" s="1"/>
      <c r="F45" s="1"/>
    </row>
    <row r="46" ht="15.75" customHeight="1">
      <c r="A46" s="1"/>
      <c r="B46" s="1"/>
      <c r="C46" s="1"/>
      <c r="D46" s="1"/>
      <c r="E46" s="1"/>
      <c r="F46" s="1"/>
    </row>
    <row r="47" ht="15.75" customHeight="1">
      <c r="A47" s="1"/>
      <c r="B47" s="1"/>
      <c r="C47" s="1"/>
      <c r="D47" s="1"/>
      <c r="E47" s="1"/>
      <c r="F47" s="1"/>
    </row>
    <row r="48" ht="15.75" customHeight="1">
      <c r="A48" s="1"/>
      <c r="B48" s="1"/>
      <c r="C48" s="1"/>
      <c r="D48" s="1"/>
      <c r="E48" s="1"/>
      <c r="F48" s="1"/>
    </row>
    <row r="49" ht="15.75" customHeight="1">
      <c r="A49" s="1"/>
      <c r="B49" s="1"/>
      <c r="C49" s="1"/>
      <c r="D49" s="1"/>
      <c r="E49" s="1"/>
      <c r="F49" s="1"/>
    </row>
    <row r="50" ht="15.75" customHeight="1">
      <c r="A50" s="1"/>
      <c r="B50" s="1"/>
      <c r="C50" s="1"/>
      <c r="D50" s="1"/>
      <c r="E50" s="1"/>
      <c r="F50" s="1"/>
    </row>
    <row r="51" ht="15.75" customHeight="1">
      <c r="A51" s="1"/>
      <c r="B51" s="1"/>
      <c r="C51" s="1"/>
      <c r="D51" s="1"/>
      <c r="E51" s="1"/>
      <c r="F51" s="1"/>
    </row>
    <row r="52" ht="15.75" customHeight="1">
      <c r="A52" s="1"/>
      <c r="B52" s="1"/>
      <c r="C52" s="1"/>
      <c r="D52" s="1"/>
      <c r="E52" s="1"/>
      <c r="F52" s="1"/>
    </row>
    <row r="53" ht="15.75" customHeight="1">
      <c r="A53" s="1"/>
      <c r="B53" s="1"/>
      <c r="C53" s="1"/>
      <c r="D53" s="1"/>
      <c r="E53" s="1"/>
      <c r="F53" s="1"/>
    </row>
    <row r="54" ht="15.75" customHeight="1">
      <c r="A54" s="1"/>
      <c r="B54" s="1"/>
      <c r="C54" s="1"/>
      <c r="D54" s="1"/>
      <c r="E54" s="1"/>
      <c r="F54" s="1"/>
    </row>
    <row r="55" ht="15.75" customHeight="1">
      <c r="A55" s="1"/>
      <c r="B55" s="1"/>
      <c r="C55" s="1"/>
      <c r="D55" s="1"/>
      <c r="E55" s="1"/>
      <c r="F55" s="1"/>
    </row>
    <row r="56" ht="15.75" customHeight="1">
      <c r="A56" s="1"/>
      <c r="B56" s="1"/>
      <c r="C56" s="1"/>
      <c r="D56" s="1"/>
      <c r="E56" s="1"/>
      <c r="F56" s="1"/>
    </row>
    <row r="57" ht="15.75" customHeight="1">
      <c r="A57" s="1"/>
      <c r="B57" s="1"/>
      <c r="C57" s="1"/>
      <c r="D57" s="1"/>
      <c r="E57" s="1"/>
      <c r="F57" s="1"/>
    </row>
    <row r="58" ht="15.75" customHeight="1">
      <c r="A58" s="1"/>
      <c r="B58" s="1"/>
      <c r="C58" s="1"/>
      <c r="D58" s="1"/>
      <c r="E58" s="1"/>
      <c r="F58" s="1"/>
    </row>
    <row r="59" ht="15.75" customHeight="1">
      <c r="A59" s="1"/>
      <c r="B59" s="1"/>
      <c r="C59" s="1"/>
      <c r="D59" s="1"/>
      <c r="E59" s="1"/>
      <c r="F59" s="1"/>
    </row>
    <row r="60" ht="15.75" customHeight="1">
      <c r="A60" s="1"/>
      <c r="B60" s="1"/>
      <c r="C60" s="1"/>
      <c r="D60" s="1"/>
      <c r="E60" s="1"/>
      <c r="F60" s="1"/>
    </row>
    <row r="61" ht="15.75" customHeight="1">
      <c r="A61" s="1"/>
      <c r="B61" s="1"/>
      <c r="C61" s="1"/>
      <c r="D61" s="1"/>
      <c r="E61" s="1"/>
      <c r="F61" s="1"/>
    </row>
    <row r="62" ht="15.75" customHeight="1">
      <c r="A62" s="1"/>
      <c r="B62" s="1"/>
      <c r="C62" s="1"/>
      <c r="D62" s="1"/>
      <c r="E62" s="1"/>
      <c r="F62" s="1"/>
    </row>
    <row r="63" ht="15.75" customHeight="1">
      <c r="A63" s="1"/>
      <c r="B63" s="1"/>
      <c r="C63" s="1"/>
      <c r="D63" s="1"/>
      <c r="E63" s="1"/>
      <c r="F63" s="1"/>
    </row>
    <row r="64" ht="15.75" customHeight="1">
      <c r="A64" s="1"/>
      <c r="B64" s="1"/>
      <c r="C64" s="1"/>
      <c r="D64" s="1"/>
      <c r="E64" s="1"/>
      <c r="F64" s="1"/>
    </row>
    <row r="65" ht="15.75" customHeight="1">
      <c r="A65" s="1"/>
      <c r="B65" s="1"/>
      <c r="C65" s="1"/>
      <c r="D65" s="1"/>
      <c r="E65" s="1"/>
      <c r="F65" s="1"/>
    </row>
    <row r="66" ht="15.75" customHeight="1">
      <c r="A66" s="1"/>
      <c r="B66" s="1"/>
      <c r="C66" s="1"/>
      <c r="D66" s="1"/>
      <c r="E66" s="1"/>
      <c r="F66" s="1"/>
    </row>
    <row r="67" ht="15.75" customHeight="1">
      <c r="A67" s="1"/>
      <c r="B67" s="1"/>
      <c r="C67" s="1"/>
      <c r="D67" s="1"/>
      <c r="E67" s="1"/>
      <c r="F67" s="1"/>
    </row>
    <row r="68" ht="15.75" customHeight="1">
      <c r="A68" s="1"/>
      <c r="B68" s="1"/>
      <c r="C68" s="1"/>
      <c r="D68" s="1"/>
      <c r="E68" s="1"/>
      <c r="F68" s="1"/>
    </row>
    <row r="69" ht="15.75" customHeight="1">
      <c r="A69" s="1"/>
      <c r="B69" s="1"/>
      <c r="C69" s="1"/>
      <c r="D69" s="1"/>
      <c r="E69" s="1"/>
      <c r="F69" s="1"/>
    </row>
    <row r="70" ht="15.75" customHeight="1">
      <c r="A70" s="1"/>
      <c r="B70" s="1"/>
      <c r="C70" s="1"/>
      <c r="D70" s="1"/>
      <c r="E70" s="1"/>
      <c r="F70" s="1"/>
    </row>
    <row r="71" ht="15.75" customHeight="1">
      <c r="A71" s="1"/>
      <c r="B71" s="1"/>
      <c r="C71" s="1"/>
      <c r="D71" s="1"/>
      <c r="E71" s="1"/>
      <c r="F71" s="1"/>
    </row>
    <row r="72" ht="15.75" customHeight="1">
      <c r="A72" s="1"/>
      <c r="B72" s="1"/>
      <c r="C72" s="1"/>
      <c r="D72" s="1"/>
      <c r="E72" s="1"/>
      <c r="F72" s="1"/>
    </row>
    <row r="73" ht="15.75" customHeight="1">
      <c r="A73" s="1"/>
      <c r="B73" s="1"/>
      <c r="C73" s="1"/>
      <c r="D73" s="1"/>
      <c r="E73" s="1"/>
      <c r="F73" s="1"/>
    </row>
    <row r="74" ht="15.75" customHeight="1">
      <c r="A74" s="1"/>
      <c r="B74" s="1"/>
      <c r="C74" s="1"/>
      <c r="D74" s="1"/>
      <c r="E74" s="1"/>
      <c r="F74" s="1"/>
    </row>
    <row r="75" ht="15.75" customHeight="1">
      <c r="A75" s="1"/>
      <c r="B75" s="1"/>
      <c r="C75" s="1"/>
      <c r="D75" s="1"/>
      <c r="E75" s="1"/>
      <c r="F75" s="1"/>
    </row>
    <row r="76" ht="15.75" customHeight="1">
      <c r="A76" s="1"/>
      <c r="B76" s="1"/>
      <c r="C76" s="1"/>
      <c r="D76" s="1"/>
      <c r="E76" s="1"/>
      <c r="F76" s="1"/>
    </row>
    <row r="77" ht="15.75" customHeight="1">
      <c r="A77" s="1"/>
      <c r="B77" s="1"/>
      <c r="C77" s="1"/>
      <c r="D77" s="1"/>
      <c r="E77" s="1"/>
      <c r="F77" s="1"/>
    </row>
    <row r="78" ht="15.75" customHeight="1">
      <c r="A78" s="1"/>
      <c r="B78" s="1"/>
      <c r="C78" s="1"/>
      <c r="D78" s="1"/>
      <c r="E78" s="1"/>
      <c r="F78" s="1"/>
    </row>
    <row r="79" ht="15.75" customHeight="1">
      <c r="A79" s="1"/>
      <c r="B79" s="1"/>
      <c r="C79" s="1"/>
      <c r="D79" s="1"/>
      <c r="E79" s="1"/>
      <c r="F79" s="1"/>
    </row>
    <row r="80" ht="15.75" customHeight="1">
      <c r="A80" s="1"/>
      <c r="B80" s="1"/>
      <c r="C80" s="1"/>
      <c r="D80" s="1"/>
      <c r="E80" s="1"/>
      <c r="F80" s="1"/>
    </row>
    <row r="81" ht="15.75" customHeight="1">
      <c r="A81" s="1"/>
      <c r="B81" s="1"/>
      <c r="C81" s="1"/>
      <c r="D81" s="1"/>
      <c r="E81" s="1"/>
      <c r="F81" s="1"/>
    </row>
    <row r="82" ht="15.75" customHeight="1">
      <c r="A82" s="1"/>
      <c r="B82" s="1"/>
      <c r="C82" s="1"/>
      <c r="D82" s="1"/>
      <c r="E82" s="1"/>
      <c r="F82" s="1"/>
    </row>
    <row r="83" ht="15.75" customHeight="1">
      <c r="A83" s="1"/>
      <c r="B83" s="1"/>
      <c r="C83" s="1"/>
      <c r="D83" s="1"/>
      <c r="E83" s="1"/>
      <c r="F83" s="1"/>
    </row>
    <row r="84" ht="15.75" customHeight="1">
      <c r="A84" s="1"/>
      <c r="B84" s="1"/>
      <c r="C84" s="1"/>
      <c r="D84" s="1"/>
      <c r="E84" s="1"/>
      <c r="F84" s="1"/>
    </row>
    <row r="85" ht="15.75" customHeight="1">
      <c r="A85" s="1"/>
      <c r="B85" s="1"/>
      <c r="C85" s="1"/>
      <c r="D85" s="1"/>
      <c r="E85" s="1"/>
      <c r="F85" s="1"/>
    </row>
    <row r="86" ht="15.75" customHeight="1">
      <c r="A86" s="1"/>
      <c r="B86" s="1"/>
      <c r="C86" s="1"/>
      <c r="D86" s="1"/>
      <c r="E86" s="1"/>
      <c r="F86" s="1"/>
    </row>
    <row r="87" ht="15.75" customHeight="1">
      <c r="A87" s="1"/>
      <c r="B87" s="1"/>
      <c r="C87" s="1"/>
      <c r="D87" s="1"/>
      <c r="E87" s="1"/>
      <c r="F87" s="1"/>
    </row>
    <row r="88" ht="15.75" customHeight="1">
      <c r="A88" s="1"/>
      <c r="B88" s="1"/>
      <c r="C88" s="1"/>
      <c r="D88" s="1"/>
      <c r="E88" s="1"/>
      <c r="F88" s="1"/>
    </row>
    <row r="89" ht="15.75" customHeight="1">
      <c r="A89" s="1"/>
      <c r="B89" s="1"/>
      <c r="C89" s="1"/>
      <c r="D89" s="1"/>
      <c r="E89" s="1"/>
      <c r="F89" s="1"/>
    </row>
    <row r="90" ht="15.75" customHeight="1">
      <c r="A90" s="1"/>
      <c r="B90" s="1"/>
      <c r="C90" s="1"/>
      <c r="D90" s="1"/>
      <c r="E90" s="1"/>
      <c r="F90" s="1"/>
    </row>
    <row r="91" ht="15.75" customHeight="1">
      <c r="A91" s="1"/>
      <c r="B91" s="1"/>
      <c r="C91" s="1"/>
      <c r="D91" s="1"/>
      <c r="E91" s="1"/>
      <c r="F91" s="1"/>
    </row>
    <row r="92" ht="15.75" customHeight="1">
      <c r="A92" s="1"/>
      <c r="B92" s="1"/>
      <c r="C92" s="1"/>
      <c r="D92" s="1"/>
      <c r="E92" s="1"/>
      <c r="F92" s="1"/>
    </row>
    <row r="93" ht="15.75" customHeight="1">
      <c r="A93" s="1"/>
      <c r="B93" s="1"/>
      <c r="C93" s="1"/>
      <c r="D93" s="1"/>
      <c r="E93" s="1"/>
      <c r="F93" s="1"/>
    </row>
    <row r="94" ht="15.75" customHeight="1">
      <c r="A94" s="1"/>
      <c r="B94" s="1"/>
      <c r="C94" s="1"/>
      <c r="D94" s="1"/>
      <c r="E94" s="1"/>
      <c r="F94" s="1"/>
    </row>
    <row r="95" ht="15.75" customHeight="1">
      <c r="A95" s="1"/>
      <c r="B95" s="1"/>
      <c r="C95" s="1"/>
      <c r="D95" s="1"/>
      <c r="E95" s="1"/>
      <c r="F95" s="1"/>
    </row>
    <row r="96" ht="15.75" customHeight="1">
      <c r="A96" s="1"/>
      <c r="B96" s="1"/>
      <c r="C96" s="1"/>
      <c r="D96" s="1"/>
      <c r="E96" s="1"/>
      <c r="F96" s="1"/>
    </row>
    <row r="97" ht="15.75" customHeight="1">
      <c r="A97" s="1"/>
      <c r="B97" s="1"/>
      <c r="C97" s="1"/>
      <c r="D97" s="1"/>
      <c r="E97" s="1"/>
      <c r="F97" s="1"/>
    </row>
    <row r="98" ht="15.75" customHeight="1">
      <c r="A98" s="1"/>
      <c r="B98" s="1"/>
      <c r="C98" s="1"/>
      <c r="D98" s="1"/>
      <c r="E98" s="1"/>
      <c r="F98" s="1"/>
    </row>
    <row r="99" ht="15.75" customHeight="1">
      <c r="A99" s="1"/>
      <c r="B99" s="1"/>
      <c r="C99" s="1"/>
      <c r="D99" s="1"/>
      <c r="E99" s="1"/>
      <c r="F99" s="1"/>
    </row>
    <row r="100" ht="15.75" customHeight="1">
      <c r="A100" s="1"/>
      <c r="B100" s="1"/>
      <c r="C100" s="1"/>
      <c r="D100" s="1"/>
      <c r="E100" s="1"/>
      <c r="F100" s="1"/>
    </row>
    <row r="101" ht="15.75" customHeight="1">
      <c r="A101" s="1"/>
      <c r="B101" s="1"/>
      <c r="C101" s="1"/>
      <c r="D101" s="1"/>
      <c r="E101" s="1"/>
      <c r="F101" s="1"/>
    </row>
    <row r="102" ht="15.75" customHeight="1">
      <c r="A102" s="1"/>
      <c r="B102" s="1"/>
      <c r="C102" s="1"/>
      <c r="D102" s="1"/>
      <c r="E102" s="1"/>
      <c r="F102" s="1"/>
    </row>
    <row r="103" ht="15.75" customHeight="1">
      <c r="A103" s="1"/>
      <c r="B103" s="1"/>
      <c r="C103" s="1"/>
      <c r="D103" s="1"/>
      <c r="E103" s="1"/>
      <c r="F103" s="1"/>
    </row>
    <row r="104" ht="15.75" customHeight="1">
      <c r="A104" s="1"/>
      <c r="B104" s="1"/>
      <c r="C104" s="1"/>
      <c r="D104" s="1"/>
      <c r="E104" s="1"/>
      <c r="F104" s="1"/>
    </row>
    <row r="105" ht="15.75" customHeight="1">
      <c r="A105" s="1"/>
      <c r="B105" s="1"/>
      <c r="C105" s="1"/>
      <c r="D105" s="1"/>
      <c r="E105" s="1"/>
      <c r="F105" s="1"/>
    </row>
    <row r="106" ht="15.75" customHeight="1">
      <c r="A106" s="1"/>
      <c r="B106" s="1"/>
      <c r="C106" s="1"/>
      <c r="D106" s="1"/>
      <c r="E106" s="1"/>
      <c r="F106" s="1"/>
    </row>
    <row r="107" ht="15.75" customHeight="1">
      <c r="A107" s="1"/>
      <c r="B107" s="1"/>
      <c r="C107" s="1"/>
      <c r="D107" s="1"/>
      <c r="E107" s="1"/>
      <c r="F107" s="1"/>
    </row>
    <row r="108" ht="15.75" customHeight="1">
      <c r="A108" s="1"/>
      <c r="B108" s="1"/>
      <c r="C108" s="1"/>
      <c r="D108" s="1"/>
      <c r="E108" s="1"/>
      <c r="F108" s="1"/>
    </row>
    <row r="109" ht="15.75" customHeight="1">
      <c r="A109" s="1"/>
      <c r="B109" s="1"/>
      <c r="C109" s="1"/>
      <c r="D109" s="1"/>
      <c r="E109" s="1"/>
      <c r="F109" s="1"/>
    </row>
    <row r="110" ht="15.75" customHeight="1">
      <c r="A110" s="1"/>
      <c r="B110" s="1"/>
      <c r="C110" s="1"/>
      <c r="D110" s="1"/>
      <c r="E110" s="1"/>
      <c r="F110" s="1"/>
    </row>
    <row r="111" ht="15.75" customHeight="1">
      <c r="A111" s="1"/>
      <c r="B111" s="1"/>
      <c r="C111" s="1"/>
      <c r="D111" s="1"/>
      <c r="E111" s="1"/>
      <c r="F111" s="1"/>
    </row>
    <row r="112" ht="15.75" customHeight="1">
      <c r="A112" s="1"/>
      <c r="B112" s="1"/>
      <c r="C112" s="1"/>
      <c r="D112" s="1"/>
      <c r="E112" s="1"/>
      <c r="F112" s="1"/>
    </row>
    <row r="113" ht="15.75" customHeight="1">
      <c r="A113" s="1"/>
      <c r="B113" s="1"/>
      <c r="C113" s="1"/>
      <c r="D113" s="1"/>
      <c r="E113" s="1"/>
      <c r="F113" s="1"/>
    </row>
    <row r="114" ht="15.75" customHeight="1">
      <c r="A114" s="1"/>
      <c r="B114" s="1"/>
      <c r="C114" s="1"/>
      <c r="D114" s="1"/>
      <c r="E114" s="1"/>
      <c r="F114" s="1"/>
    </row>
    <row r="115" ht="15.75" customHeight="1">
      <c r="A115" s="1"/>
      <c r="B115" s="1"/>
      <c r="C115" s="1"/>
      <c r="D115" s="1"/>
      <c r="E115" s="1"/>
      <c r="F115" s="1"/>
    </row>
    <row r="116" ht="15.75" customHeight="1">
      <c r="A116" s="1"/>
      <c r="B116" s="1"/>
      <c r="C116" s="1"/>
      <c r="D116" s="1"/>
      <c r="E116" s="1"/>
      <c r="F116" s="1"/>
    </row>
    <row r="117" ht="15.75" customHeight="1">
      <c r="A117" s="1"/>
      <c r="B117" s="1"/>
      <c r="C117" s="1"/>
      <c r="D117" s="1"/>
      <c r="E117" s="1"/>
      <c r="F117" s="1"/>
    </row>
    <row r="118" ht="15.75" customHeight="1">
      <c r="A118" s="1"/>
      <c r="B118" s="1"/>
      <c r="C118" s="1"/>
      <c r="D118" s="1"/>
      <c r="E118" s="1"/>
      <c r="F118" s="1"/>
    </row>
    <row r="119" ht="15.75" customHeight="1">
      <c r="A119" s="1"/>
      <c r="B119" s="1"/>
      <c r="C119" s="1"/>
      <c r="D119" s="1"/>
      <c r="E119" s="1"/>
      <c r="F119" s="1"/>
    </row>
    <row r="120" ht="15.75" customHeight="1">
      <c r="A120" s="1"/>
      <c r="B120" s="1"/>
      <c r="C120" s="1"/>
      <c r="D120" s="1"/>
      <c r="E120" s="1"/>
      <c r="F120" s="1"/>
    </row>
    <row r="121" ht="15.75" customHeight="1">
      <c r="A121" s="1"/>
      <c r="B121" s="1"/>
      <c r="C121" s="1"/>
      <c r="D121" s="1"/>
      <c r="E121" s="1"/>
      <c r="F121" s="1"/>
    </row>
    <row r="122" ht="15.75" customHeight="1">
      <c r="A122" s="1"/>
      <c r="B122" s="1"/>
      <c r="C122" s="1"/>
      <c r="D122" s="1"/>
      <c r="E122" s="1"/>
      <c r="F122" s="1"/>
    </row>
    <row r="123" ht="15.75" customHeight="1">
      <c r="A123" s="1"/>
      <c r="B123" s="1"/>
      <c r="C123" s="1"/>
      <c r="D123" s="1"/>
      <c r="E123" s="1"/>
      <c r="F123" s="1"/>
    </row>
    <row r="124" ht="15.75" customHeight="1">
      <c r="A124" s="1"/>
      <c r="B124" s="1"/>
      <c r="C124" s="1"/>
      <c r="D124" s="1"/>
      <c r="E124" s="1"/>
      <c r="F124" s="1"/>
    </row>
    <row r="125" ht="15.75" customHeight="1">
      <c r="A125" s="1"/>
      <c r="B125" s="1"/>
      <c r="C125" s="1"/>
      <c r="D125" s="1"/>
      <c r="E125" s="1"/>
      <c r="F125" s="1"/>
    </row>
    <row r="126" ht="15.75" customHeight="1">
      <c r="A126" s="1"/>
      <c r="B126" s="1"/>
      <c r="C126" s="1"/>
      <c r="D126" s="1"/>
      <c r="E126" s="1"/>
      <c r="F126" s="1"/>
    </row>
    <row r="127" ht="15.75" customHeight="1">
      <c r="A127" s="1"/>
      <c r="B127" s="1"/>
      <c r="C127" s="1"/>
      <c r="D127" s="1"/>
      <c r="E127" s="1"/>
      <c r="F127" s="1"/>
    </row>
    <row r="128" ht="15.75" customHeight="1">
      <c r="A128" s="1"/>
      <c r="B128" s="1"/>
      <c r="C128" s="1"/>
      <c r="D128" s="1"/>
      <c r="E128" s="1"/>
      <c r="F128" s="1"/>
    </row>
    <row r="129" ht="15.75" customHeight="1">
      <c r="A129" s="1"/>
      <c r="B129" s="1"/>
      <c r="C129" s="1"/>
      <c r="D129" s="1"/>
      <c r="E129" s="1"/>
      <c r="F129" s="1"/>
    </row>
    <row r="130" ht="15.75" customHeight="1">
      <c r="A130" s="1"/>
      <c r="B130" s="1"/>
      <c r="C130" s="1"/>
      <c r="D130" s="1"/>
      <c r="E130" s="1"/>
      <c r="F130" s="1"/>
    </row>
    <row r="131" ht="15.75" customHeight="1">
      <c r="A131" s="1"/>
      <c r="B131" s="1"/>
      <c r="C131" s="1"/>
      <c r="D131" s="1"/>
      <c r="E131" s="1"/>
      <c r="F131" s="1"/>
    </row>
    <row r="132" ht="15.75" customHeight="1">
      <c r="A132" s="1"/>
      <c r="B132" s="1"/>
      <c r="C132" s="1"/>
      <c r="D132" s="1"/>
      <c r="E132" s="1"/>
      <c r="F132" s="1"/>
    </row>
    <row r="133" ht="15.75" customHeight="1">
      <c r="A133" s="1"/>
      <c r="B133" s="1"/>
      <c r="C133" s="1"/>
      <c r="D133" s="1"/>
      <c r="E133" s="1"/>
      <c r="F133" s="1"/>
    </row>
    <row r="134" ht="15.75" customHeight="1">
      <c r="A134" s="1"/>
      <c r="B134" s="1"/>
      <c r="C134" s="1"/>
      <c r="D134" s="1"/>
      <c r="E134" s="1"/>
      <c r="F134" s="1"/>
    </row>
    <row r="135" ht="15.75" customHeight="1">
      <c r="A135" s="1"/>
      <c r="B135" s="1"/>
      <c r="C135" s="1"/>
      <c r="D135" s="1"/>
      <c r="E135" s="1"/>
      <c r="F135" s="1"/>
    </row>
    <row r="136" ht="15.75" customHeight="1">
      <c r="A136" s="1"/>
      <c r="B136" s="1"/>
      <c r="C136" s="1"/>
      <c r="D136" s="1"/>
      <c r="E136" s="1"/>
      <c r="F136" s="1"/>
    </row>
    <row r="137" ht="15.75" customHeight="1">
      <c r="A137" s="1"/>
      <c r="B137" s="1"/>
      <c r="C137" s="1"/>
      <c r="D137" s="1"/>
      <c r="E137" s="1"/>
      <c r="F137" s="1"/>
    </row>
    <row r="138" ht="15.75" customHeight="1">
      <c r="A138" s="1"/>
      <c r="B138" s="1"/>
      <c r="C138" s="1"/>
      <c r="D138" s="1"/>
      <c r="E138" s="1"/>
      <c r="F138" s="1"/>
    </row>
    <row r="139" ht="15.75" customHeight="1">
      <c r="A139" s="1"/>
      <c r="B139" s="1"/>
      <c r="C139" s="1"/>
      <c r="D139" s="1"/>
      <c r="E139" s="1"/>
      <c r="F139" s="1"/>
    </row>
    <row r="140" ht="15.75" customHeight="1">
      <c r="A140" s="1"/>
      <c r="B140" s="1"/>
      <c r="C140" s="1"/>
      <c r="D140" s="1"/>
      <c r="E140" s="1"/>
      <c r="F140" s="1"/>
    </row>
    <row r="141" ht="15.75" customHeight="1">
      <c r="A141" s="1"/>
      <c r="B141" s="1"/>
      <c r="C141" s="1"/>
      <c r="D141" s="1"/>
      <c r="E141" s="1"/>
      <c r="F141" s="1"/>
    </row>
    <row r="142" ht="15.75" customHeight="1">
      <c r="A142" s="1"/>
      <c r="B142" s="1"/>
      <c r="C142" s="1"/>
      <c r="D142" s="1"/>
      <c r="E142" s="1"/>
      <c r="F142" s="1"/>
    </row>
    <row r="143" ht="15.75" customHeight="1">
      <c r="A143" s="1"/>
      <c r="B143" s="1"/>
      <c r="C143" s="1"/>
      <c r="D143" s="1"/>
      <c r="E143" s="1"/>
      <c r="F143" s="1"/>
    </row>
    <row r="144" ht="15.75" customHeight="1">
      <c r="A144" s="1"/>
      <c r="B144" s="1"/>
      <c r="C144" s="1"/>
      <c r="D144" s="1"/>
      <c r="E144" s="1"/>
      <c r="F144" s="1"/>
    </row>
    <row r="145" ht="15.75" customHeight="1">
      <c r="A145" s="1"/>
      <c r="B145" s="1"/>
      <c r="C145" s="1"/>
      <c r="D145" s="1"/>
      <c r="E145" s="1"/>
      <c r="F145" s="1"/>
    </row>
    <row r="146" ht="15.75" customHeight="1">
      <c r="A146" s="1"/>
      <c r="B146" s="1"/>
      <c r="C146" s="1"/>
      <c r="D146" s="1"/>
      <c r="E146" s="1"/>
      <c r="F146" s="1"/>
    </row>
    <row r="147" ht="15.75" customHeight="1">
      <c r="A147" s="1"/>
      <c r="B147" s="1"/>
      <c r="C147" s="1"/>
      <c r="D147" s="1"/>
      <c r="E147" s="1"/>
      <c r="F147" s="1"/>
    </row>
    <row r="148" ht="15.75" customHeight="1">
      <c r="A148" s="1"/>
      <c r="B148" s="1"/>
      <c r="C148" s="1"/>
      <c r="D148" s="1"/>
      <c r="E148" s="1"/>
      <c r="F148" s="1"/>
    </row>
    <row r="149" ht="15.75" customHeight="1">
      <c r="A149" s="1"/>
      <c r="B149" s="1"/>
      <c r="C149" s="1"/>
      <c r="D149" s="1"/>
      <c r="E149" s="1"/>
      <c r="F149" s="1"/>
    </row>
    <row r="150" ht="15.75" customHeight="1">
      <c r="A150" s="1"/>
      <c r="B150" s="1"/>
      <c r="C150" s="1"/>
      <c r="D150" s="1"/>
      <c r="E150" s="1"/>
      <c r="F150" s="1"/>
    </row>
    <row r="151" ht="15.75" customHeight="1">
      <c r="A151" s="1"/>
      <c r="B151" s="1"/>
      <c r="C151" s="1"/>
      <c r="D151" s="1"/>
      <c r="E151" s="1"/>
      <c r="F151" s="1"/>
    </row>
    <row r="152" ht="15.75" customHeight="1">
      <c r="A152" s="1"/>
      <c r="B152" s="1"/>
      <c r="C152" s="1"/>
      <c r="D152" s="1"/>
      <c r="E152" s="1"/>
      <c r="F152" s="1"/>
    </row>
    <row r="153" ht="15.75" customHeight="1">
      <c r="A153" s="1"/>
      <c r="B153" s="1"/>
      <c r="C153" s="1"/>
      <c r="D153" s="1"/>
      <c r="E153" s="1"/>
      <c r="F153" s="1"/>
    </row>
    <row r="154" ht="15.75" customHeight="1">
      <c r="A154" s="1"/>
      <c r="B154" s="1"/>
      <c r="C154" s="1"/>
      <c r="D154" s="1"/>
      <c r="E154" s="1"/>
      <c r="F154" s="1"/>
    </row>
    <row r="155" ht="15.75" customHeight="1">
      <c r="A155" s="1"/>
      <c r="B155" s="1"/>
      <c r="C155" s="1"/>
      <c r="D155" s="1"/>
      <c r="E155" s="1"/>
      <c r="F155" s="1"/>
    </row>
    <row r="156" ht="15.75" customHeight="1">
      <c r="A156" s="1"/>
      <c r="B156" s="1"/>
      <c r="C156" s="1"/>
      <c r="D156" s="1"/>
      <c r="E156" s="1"/>
      <c r="F156" s="1"/>
    </row>
    <row r="157" ht="15.75" customHeight="1">
      <c r="A157" s="1"/>
      <c r="B157" s="1"/>
      <c r="C157" s="1"/>
      <c r="D157" s="1"/>
      <c r="E157" s="1"/>
      <c r="F157" s="1"/>
    </row>
    <row r="158" ht="15.75" customHeight="1">
      <c r="A158" s="1"/>
      <c r="B158" s="1"/>
      <c r="C158" s="1"/>
      <c r="D158" s="1"/>
      <c r="E158" s="1"/>
      <c r="F158" s="1"/>
    </row>
    <row r="159" ht="15.75" customHeight="1">
      <c r="A159" s="1"/>
      <c r="B159" s="1"/>
      <c r="C159" s="1"/>
      <c r="D159" s="1"/>
      <c r="E159" s="1"/>
      <c r="F159" s="1"/>
    </row>
    <row r="160" ht="15.75" customHeight="1">
      <c r="A160" s="1"/>
      <c r="B160" s="1"/>
      <c r="C160" s="1"/>
      <c r="D160" s="1"/>
      <c r="E160" s="1"/>
      <c r="F160" s="1"/>
    </row>
    <row r="161" ht="15.75" customHeight="1">
      <c r="A161" s="1"/>
      <c r="B161" s="1"/>
      <c r="C161" s="1"/>
      <c r="D161" s="1"/>
      <c r="E161" s="1"/>
      <c r="F161" s="1"/>
    </row>
    <row r="162" ht="15.75" customHeight="1">
      <c r="A162" s="1"/>
      <c r="B162" s="1"/>
      <c r="C162" s="1"/>
      <c r="D162" s="1"/>
      <c r="E162" s="1"/>
      <c r="F162" s="1"/>
    </row>
    <row r="163" ht="15.75" customHeight="1">
      <c r="A163" s="1"/>
      <c r="B163" s="1"/>
      <c r="C163" s="1"/>
      <c r="D163" s="1"/>
      <c r="E163" s="1"/>
      <c r="F163" s="1"/>
    </row>
    <row r="164" ht="15.75" customHeight="1">
      <c r="A164" s="1"/>
      <c r="B164" s="1"/>
      <c r="C164" s="1"/>
      <c r="D164" s="1"/>
      <c r="E164" s="1"/>
      <c r="F164" s="1"/>
    </row>
    <row r="165" ht="15.75" customHeight="1">
      <c r="A165" s="1"/>
      <c r="B165" s="1"/>
      <c r="C165" s="1"/>
      <c r="D165" s="1"/>
      <c r="E165" s="1"/>
      <c r="F165" s="1"/>
    </row>
    <row r="166" ht="15.75" customHeight="1">
      <c r="A166" s="1"/>
      <c r="B166" s="1"/>
      <c r="C166" s="1"/>
      <c r="D166" s="1"/>
      <c r="E166" s="1"/>
      <c r="F166" s="1"/>
    </row>
    <row r="167" ht="15.75" customHeight="1">
      <c r="A167" s="1"/>
      <c r="B167" s="1"/>
      <c r="C167" s="1"/>
      <c r="D167" s="1"/>
      <c r="E167" s="1"/>
      <c r="F167" s="1"/>
    </row>
    <row r="168" ht="15.75" customHeight="1">
      <c r="A168" s="1"/>
      <c r="B168" s="1"/>
      <c r="C168" s="1"/>
      <c r="D168" s="1"/>
      <c r="E168" s="1"/>
      <c r="F168" s="1"/>
    </row>
    <row r="169" ht="15.75" customHeight="1">
      <c r="A169" s="1"/>
      <c r="B169" s="1"/>
      <c r="C169" s="1"/>
      <c r="D169" s="1"/>
      <c r="E169" s="1"/>
      <c r="F169" s="1"/>
    </row>
    <row r="170" ht="15.75" customHeight="1">
      <c r="A170" s="1"/>
      <c r="B170" s="1"/>
      <c r="C170" s="1"/>
      <c r="D170" s="1"/>
      <c r="E170" s="1"/>
      <c r="F170" s="1"/>
    </row>
    <row r="171" ht="15.75" customHeight="1">
      <c r="A171" s="1"/>
      <c r="B171" s="1"/>
      <c r="C171" s="1"/>
      <c r="D171" s="1"/>
      <c r="E171" s="1"/>
      <c r="F171" s="1"/>
    </row>
    <row r="172" ht="15.75" customHeight="1">
      <c r="A172" s="1"/>
      <c r="B172" s="1"/>
      <c r="C172" s="1"/>
      <c r="D172" s="1"/>
      <c r="E172" s="1"/>
      <c r="F172" s="1"/>
    </row>
    <row r="173" ht="15.75" customHeight="1">
      <c r="A173" s="1"/>
      <c r="B173" s="1"/>
      <c r="C173" s="1"/>
      <c r="D173" s="1"/>
      <c r="E173" s="1"/>
      <c r="F173" s="1"/>
    </row>
    <row r="174" ht="15.75" customHeight="1">
      <c r="A174" s="1"/>
      <c r="B174" s="1"/>
      <c r="C174" s="1"/>
      <c r="D174" s="1"/>
      <c r="E174" s="1"/>
      <c r="F174" s="1"/>
    </row>
    <row r="175" ht="15.75" customHeight="1">
      <c r="A175" s="1"/>
      <c r="B175" s="1"/>
      <c r="C175" s="1"/>
      <c r="D175" s="1"/>
      <c r="E175" s="1"/>
      <c r="F175" s="1"/>
    </row>
    <row r="176" ht="15.75" customHeight="1">
      <c r="A176" s="1"/>
      <c r="B176" s="1"/>
      <c r="C176" s="1"/>
      <c r="D176" s="1"/>
      <c r="E176" s="1"/>
      <c r="F176" s="1"/>
    </row>
    <row r="177" ht="15.75" customHeight="1">
      <c r="A177" s="1"/>
      <c r="B177" s="1"/>
      <c r="C177" s="1"/>
      <c r="D177" s="1"/>
      <c r="E177" s="1"/>
      <c r="F177" s="1"/>
    </row>
    <row r="178" ht="15.75" customHeight="1">
      <c r="A178" s="1"/>
      <c r="B178" s="1"/>
      <c r="C178" s="1"/>
      <c r="D178" s="1"/>
      <c r="E178" s="1"/>
      <c r="F178" s="1"/>
    </row>
    <row r="179" ht="15.75" customHeight="1">
      <c r="A179" s="1"/>
      <c r="B179" s="1"/>
      <c r="C179" s="1"/>
      <c r="D179" s="1"/>
      <c r="E179" s="1"/>
      <c r="F179" s="1"/>
    </row>
    <row r="180" ht="15.75" customHeight="1">
      <c r="A180" s="1"/>
      <c r="B180" s="1"/>
      <c r="C180" s="1"/>
      <c r="D180" s="1"/>
      <c r="E180" s="1"/>
      <c r="F180" s="1"/>
    </row>
    <row r="181" ht="15.75" customHeight="1">
      <c r="A181" s="1"/>
      <c r="B181" s="1"/>
      <c r="C181" s="1"/>
      <c r="D181" s="1"/>
      <c r="E181" s="1"/>
      <c r="F181" s="1"/>
    </row>
    <row r="182" ht="15.75" customHeight="1">
      <c r="A182" s="1"/>
      <c r="B182" s="1"/>
      <c r="C182" s="1"/>
      <c r="D182" s="1"/>
      <c r="E182" s="1"/>
      <c r="F182" s="1"/>
    </row>
    <row r="183" ht="15.75" customHeight="1">
      <c r="A183" s="1"/>
      <c r="B183" s="1"/>
      <c r="C183" s="1"/>
      <c r="D183" s="1"/>
      <c r="E183" s="1"/>
      <c r="F183" s="1"/>
    </row>
    <row r="184" ht="15.75" customHeight="1">
      <c r="A184" s="1"/>
      <c r="B184" s="1"/>
      <c r="C184" s="1"/>
      <c r="D184" s="1"/>
      <c r="E184" s="1"/>
      <c r="F184" s="1"/>
    </row>
    <row r="185" ht="15.75" customHeight="1">
      <c r="A185" s="1"/>
      <c r="B185" s="1"/>
      <c r="C185" s="1"/>
      <c r="D185" s="1"/>
      <c r="E185" s="1"/>
      <c r="F185" s="1"/>
    </row>
    <row r="186" ht="15.75" customHeight="1">
      <c r="A186" s="1"/>
      <c r="B186" s="1"/>
      <c r="C186" s="1"/>
      <c r="D186" s="1"/>
      <c r="E186" s="1"/>
      <c r="F186" s="1"/>
    </row>
    <row r="187" ht="15.75" customHeight="1">
      <c r="A187" s="1"/>
      <c r="B187" s="1"/>
      <c r="C187" s="1"/>
      <c r="D187" s="1"/>
      <c r="E187" s="1"/>
      <c r="F187" s="1"/>
    </row>
    <row r="188" ht="15.75" customHeight="1">
      <c r="A188" s="1"/>
      <c r="B188" s="1"/>
      <c r="C188" s="1"/>
      <c r="D188" s="1"/>
      <c r="E188" s="1"/>
      <c r="F188" s="1"/>
    </row>
    <row r="189" ht="15.75" customHeight="1">
      <c r="A189" s="1"/>
      <c r="B189" s="1"/>
      <c r="C189" s="1"/>
      <c r="D189" s="1"/>
      <c r="E189" s="1"/>
      <c r="F189" s="1"/>
    </row>
    <row r="190" ht="15.75" customHeight="1">
      <c r="A190" s="1"/>
      <c r="B190" s="1"/>
      <c r="C190" s="1"/>
      <c r="D190" s="1"/>
      <c r="E190" s="1"/>
      <c r="F190" s="1"/>
    </row>
    <row r="191" ht="15.75" customHeight="1">
      <c r="A191" s="1"/>
      <c r="B191" s="1"/>
      <c r="C191" s="1"/>
      <c r="D191" s="1"/>
      <c r="E191" s="1"/>
      <c r="F191" s="1"/>
    </row>
    <row r="192" ht="15.75" customHeight="1">
      <c r="A192" s="1"/>
      <c r="B192" s="1"/>
      <c r="C192" s="1"/>
      <c r="D192" s="1"/>
      <c r="E192" s="1"/>
      <c r="F192" s="1"/>
    </row>
    <row r="193" ht="15.75" customHeight="1">
      <c r="A193" s="1"/>
      <c r="B193" s="1"/>
      <c r="C193" s="1"/>
      <c r="D193" s="1"/>
      <c r="E193" s="1"/>
      <c r="F193" s="1"/>
    </row>
    <row r="194" ht="15.75" customHeight="1">
      <c r="A194" s="1"/>
      <c r="B194" s="1"/>
      <c r="C194" s="1"/>
      <c r="D194" s="1"/>
      <c r="E194" s="1"/>
      <c r="F194" s="1"/>
    </row>
    <row r="195" ht="15.75" customHeight="1">
      <c r="A195" s="1"/>
      <c r="B195" s="1"/>
      <c r="C195" s="1"/>
      <c r="D195" s="1"/>
      <c r="E195" s="1"/>
      <c r="F195" s="1"/>
    </row>
    <row r="196" ht="15.75" customHeight="1">
      <c r="A196" s="1"/>
      <c r="B196" s="1"/>
      <c r="C196" s="1"/>
      <c r="D196" s="1"/>
      <c r="E196" s="1"/>
      <c r="F196" s="1"/>
    </row>
    <row r="197" ht="15.75" customHeight="1">
      <c r="A197" s="1"/>
      <c r="B197" s="1"/>
      <c r="C197" s="1"/>
      <c r="D197" s="1"/>
      <c r="E197" s="1"/>
      <c r="F197" s="1"/>
    </row>
    <row r="198" ht="15.75" customHeight="1">
      <c r="A198" s="1"/>
      <c r="B198" s="1"/>
      <c r="C198" s="1"/>
      <c r="D198" s="1"/>
      <c r="E198" s="1"/>
      <c r="F198" s="1"/>
    </row>
    <row r="199" ht="15.75" customHeight="1">
      <c r="A199" s="1"/>
      <c r="B199" s="1"/>
      <c r="C199" s="1"/>
      <c r="D199" s="1"/>
      <c r="E199" s="1"/>
      <c r="F199" s="1"/>
    </row>
    <row r="200" ht="15.75" customHeight="1">
      <c r="A200" s="1"/>
      <c r="B200" s="1"/>
      <c r="C200" s="1"/>
      <c r="D200" s="1"/>
      <c r="E200" s="1"/>
      <c r="F200" s="1"/>
    </row>
    <row r="201" ht="15.75" customHeight="1">
      <c r="A201" s="1"/>
      <c r="B201" s="1"/>
      <c r="C201" s="1"/>
      <c r="D201" s="1"/>
      <c r="E201" s="1"/>
      <c r="F201" s="1"/>
    </row>
    <row r="202" ht="15.75" customHeight="1">
      <c r="A202" s="1"/>
      <c r="B202" s="1"/>
      <c r="C202" s="1"/>
      <c r="D202" s="1"/>
      <c r="E202" s="1"/>
      <c r="F202" s="1"/>
    </row>
    <row r="203" ht="15.75" customHeight="1">
      <c r="A203" s="1"/>
      <c r="B203" s="1"/>
      <c r="C203" s="1"/>
      <c r="D203" s="1"/>
      <c r="E203" s="1"/>
      <c r="F203" s="1"/>
    </row>
    <row r="204" ht="15.75" customHeight="1">
      <c r="A204" s="1"/>
      <c r="B204" s="1"/>
      <c r="C204" s="1"/>
      <c r="D204" s="1"/>
      <c r="E204" s="1"/>
      <c r="F204" s="1"/>
    </row>
    <row r="205" ht="15.75" customHeight="1">
      <c r="A205" s="1"/>
      <c r="B205" s="1"/>
      <c r="C205" s="1"/>
      <c r="D205" s="1"/>
      <c r="E205" s="1"/>
      <c r="F205" s="1"/>
    </row>
    <row r="206" ht="15.75" customHeight="1">
      <c r="A206" s="1"/>
      <c r="B206" s="1"/>
      <c r="C206" s="1"/>
      <c r="D206" s="1"/>
      <c r="E206" s="1"/>
      <c r="F206" s="1"/>
    </row>
    <row r="207" ht="15.75" customHeight="1">
      <c r="A207" s="1"/>
      <c r="B207" s="1"/>
      <c r="C207" s="1"/>
      <c r="D207" s="1"/>
      <c r="E207" s="1"/>
      <c r="F207" s="1"/>
    </row>
    <row r="208" ht="15.75" customHeight="1">
      <c r="A208" s="1"/>
      <c r="B208" s="1"/>
      <c r="C208" s="1"/>
      <c r="D208" s="1"/>
      <c r="E208" s="1"/>
      <c r="F208" s="1"/>
    </row>
    <row r="209" ht="15.75" customHeight="1">
      <c r="A209" s="1"/>
      <c r="B209" s="1"/>
      <c r="C209" s="1"/>
      <c r="D209" s="1"/>
      <c r="E209" s="1"/>
      <c r="F209" s="1"/>
    </row>
    <row r="210" ht="15.75" customHeight="1">
      <c r="A210" s="1"/>
      <c r="B210" s="1"/>
      <c r="C210" s="1"/>
      <c r="D210" s="1"/>
      <c r="E210" s="1"/>
      <c r="F210" s="1"/>
    </row>
    <row r="211" ht="15.75" customHeight="1">
      <c r="A211" s="1"/>
      <c r="B211" s="1"/>
      <c r="C211" s="1"/>
      <c r="D211" s="1"/>
      <c r="E211" s="1"/>
      <c r="F211" s="1"/>
    </row>
    <row r="212" ht="15.75" customHeight="1">
      <c r="A212" s="1"/>
      <c r="B212" s="1"/>
      <c r="C212" s="1"/>
      <c r="D212" s="1"/>
      <c r="E212" s="1"/>
      <c r="F212" s="1"/>
    </row>
    <row r="213" ht="15.75" customHeight="1">
      <c r="A213" s="1"/>
      <c r="B213" s="1"/>
      <c r="C213" s="1"/>
      <c r="D213" s="1"/>
      <c r="E213" s="1"/>
      <c r="F213" s="1"/>
    </row>
    <row r="214" ht="15.75" customHeight="1">
      <c r="A214" s="1"/>
      <c r="B214" s="1"/>
      <c r="C214" s="1"/>
      <c r="D214" s="1"/>
      <c r="E214" s="1"/>
      <c r="F214" s="1"/>
    </row>
    <row r="215" ht="15.75" customHeight="1">
      <c r="A215" s="1"/>
      <c r="B215" s="1"/>
      <c r="C215" s="1"/>
      <c r="D215" s="1"/>
      <c r="E215" s="1"/>
      <c r="F215" s="1"/>
    </row>
    <row r="216" ht="15.75" customHeight="1">
      <c r="A216" s="1"/>
      <c r="B216" s="1"/>
      <c r="C216" s="1"/>
      <c r="D216" s="1"/>
      <c r="E216" s="1"/>
      <c r="F216" s="1"/>
    </row>
    <row r="217" ht="15.75" customHeight="1">
      <c r="A217" s="1"/>
      <c r="B217" s="1"/>
      <c r="C217" s="1"/>
      <c r="D217" s="1"/>
      <c r="E217" s="1"/>
      <c r="F217" s="1"/>
    </row>
    <row r="218" ht="15.75" customHeight="1">
      <c r="A218" s="1"/>
      <c r="B218" s="1"/>
      <c r="C218" s="1"/>
      <c r="D218" s="1"/>
      <c r="E218" s="1"/>
      <c r="F218" s="1"/>
    </row>
    <row r="219" ht="15.75" customHeight="1">
      <c r="A219" s="1"/>
      <c r="B219" s="1"/>
      <c r="C219" s="1"/>
      <c r="D219" s="1"/>
      <c r="E219" s="1"/>
      <c r="F219" s="1"/>
    </row>
    <row r="220" ht="15.75" customHeight="1">
      <c r="A220" s="1"/>
      <c r="B220" s="1"/>
      <c r="C220" s="1"/>
      <c r="D220" s="1"/>
      <c r="E220" s="1"/>
      <c r="F220" s="1"/>
    </row>
    <row r="221" ht="15.75" customHeight="1">
      <c r="A221" s="1"/>
      <c r="B221" s="1"/>
      <c r="C221" s="1"/>
      <c r="D221" s="1"/>
      <c r="E221" s="1"/>
      <c r="F221" s="1"/>
    </row>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pageSetUpPr/>
  </sheetPr>
  <sheetViews>
    <sheetView showGridLines="0" workbookViewId="0"/>
  </sheetViews>
  <sheetFormatPr customHeight="1" defaultColWidth="14.43" defaultRowHeight="15.0"/>
  <cols>
    <col customWidth="1" min="1" max="1" width="3.0"/>
    <col customWidth="1" min="2" max="2" width="20.0"/>
    <col customWidth="1" min="3" max="3" width="13.0"/>
    <col customWidth="1" min="4" max="4" width="9.0"/>
    <col customWidth="1" min="5" max="5" width="13.0"/>
    <col customWidth="1" min="6" max="6" width="13.57"/>
    <col customWidth="1" min="7" max="7" width="15.43"/>
    <col customWidth="1" min="8" max="8" width="13.0"/>
    <col customWidth="1" min="9" max="9" width="14.29"/>
    <col customWidth="1" min="10" max="10" width="15.43"/>
    <col customWidth="1" min="11" max="11" width="3.0"/>
    <col customWidth="1" min="12" max="12" width="26.57"/>
    <col customWidth="1" min="13" max="13" width="14.0"/>
  </cols>
  <sheetData>
    <row r="1" ht="19.5" customHeight="1">
      <c r="A1" s="1"/>
      <c r="B1" s="3" t="s">
        <v>154</v>
      </c>
      <c r="N1" s="1"/>
      <c r="O1" s="1"/>
    </row>
    <row r="2" ht="15.0" customHeight="1">
      <c r="A2" s="1"/>
      <c r="B2" s="1"/>
      <c r="C2" s="1"/>
      <c r="D2" s="1"/>
      <c r="E2" s="1"/>
      <c r="F2" s="1"/>
      <c r="G2" s="1"/>
      <c r="H2" s="1"/>
      <c r="I2" s="1"/>
      <c r="J2" s="1"/>
      <c r="K2" s="1"/>
      <c r="L2" s="1"/>
      <c r="M2" s="1"/>
      <c r="N2" s="1"/>
      <c r="O2" s="1"/>
    </row>
    <row r="3" ht="15.0" customHeight="1">
      <c r="A3" s="1"/>
      <c r="B3" s="5" t="s">
        <v>155</v>
      </c>
      <c r="K3" s="1"/>
      <c r="L3" s="5" t="s">
        <v>17</v>
      </c>
      <c r="N3" s="1"/>
      <c r="O3" s="1"/>
    </row>
    <row r="4" ht="30.0" customHeight="1">
      <c r="A4" s="1"/>
      <c r="B4" s="129" t="s">
        <v>156</v>
      </c>
      <c r="C4" s="129" t="s">
        <v>157</v>
      </c>
      <c r="D4" s="129" t="s">
        <v>158</v>
      </c>
      <c r="E4" s="129" t="s">
        <v>159</v>
      </c>
      <c r="F4" s="129" t="s">
        <v>160</v>
      </c>
      <c r="G4" s="129" t="s">
        <v>161</v>
      </c>
      <c r="H4" s="129" t="s">
        <v>162</v>
      </c>
      <c r="I4" s="129" t="s">
        <v>163</v>
      </c>
      <c r="J4" s="129" t="s">
        <v>164</v>
      </c>
      <c r="K4" s="1"/>
      <c r="L4" s="104" t="s">
        <v>38</v>
      </c>
      <c r="M4" s="130">
        <f>SUM(C5:C9)</f>
        <v>18000</v>
      </c>
      <c r="N4" s="1"/>
      <c r="O4" s="1"/>
    </row>
    <row r="5" ht="15.0" customHeight="1">
      <c r="A5" s="1"/>
      <c r="B5" s="29" t="s">
        <v>165</v>
      </c>
      <c r="C5" s="32">
        <v>18000.0</v>
      </c>
      <c r="D5" s="131">
        <v>0.04</v>
      </c>
      <c r="E5" s="32">
        <v>350.0</v>
      </c>
      <c r="F5" s="77"/>
      <c r="G5" s="132">
        <f t="shared" ref="G5:G9" si="1">IF(OR($C5&lt;=0,($E5+$F5)&lt;=0),"-",IF($D5=0,ROUNDUP($C5/($E5+$F5),0),IF(($E5+$F5)&lt;=$C5*($D5/12),"Increase payment",ROUNDUP(-LN(1-($C5*($D5/12))/($E5+$F5))/LN(1+($D5/12)),0))))</f>
        <v>57</v>
      </c>
      <c r="H5" s="116">
        <f t="shared" ref="H5:H9" si="2">IFERROR(IF(ISNUMBER(G5),ROUND((G5-1)*($E5+$F5)+IF($D5=0,$C5-($E5+$F5)*(G5-1),($C5*(1+$D5/12)^(G5-1)-($E5+$F5)*((1+$D5/12)^(G5-1)-1)/($D5/12))*(1+$D5/12))-$C5,2),"-"),"-")</f>
        <v>1778.52</v>
      </c>
      <c r="I5" s="132">
        <f t="shared" ref="I5:I9" si="3">IF(OR($C5="",$C5&lt;=0),"-",RANK($C5,$C$5:$C$9,1))</f>
        <v>1</v>
      </c>
      <c r="J5" s="132">
        <f t="shared" ref="J5:J9" si="4">IF(OR($D5="",$C5&lt;=0),"-",RANK($D5,$D$5:$D$9,0))</f>
        <v>1</v>
      </c>
      <c r="K5" s="1"/>
      <c r="L5" s="104" t="s">
        <v>166</v>
      </c>
      <c r="M5" s="116">
        <f>SUM(E5:E9)</f>
        <v>350</v>
      </c>
      <c r="N5" s="1"/>
      <c r="O5" s="1"/>
    </row>
    <row r="6" ht="15.0" customHeight="1">
      <c r="A6" s="1"/>
      <c r="B6" s="65"/>
      <c r="C6" s="77"/>
      <c r="D6" s="133"/>
      <c r="E6" s="77"/>
      <c r="F6" s="77"/>
      <c r="G6" s="132" t="str">
        <f t="shared" si="1"/>
        <v>-</v>
      </c>
      <c r="H6" s="116" t="str">
        <f t="shared" si="2"/>
        <v>-</v>
      </c>
      <c r="I6" s="132" t="str">
        <f t="shared" si="3"/>
        <v>-</v>
      </c>
      <c r="J6" s="132" t="str">
        <f t="shared" si="4"/>
        <v>-</v>
      </c>
      <c r="K6" s="1"/>
      <c r="L6" s="104" t="s">
        <v>167</v>
      </c>
      <c r="M6" s="116">
        <f>SUM(F5:F9)</f>
        <v>0</v>
      </c>
      <c r="N6" s="1"/>
      <c r="O6" s="1"/>
    </row>
    <row r="7" ht="15.0" customHeight="1">
      <c r="A7" s="1"/>
      <c r="B7" s="65"/>
      <c r="C7" s="77"/>
      <c r="D7" s="133"/>
      <c r="E7" s="77"/>
      <c r="F7" s="77"/>
      <c r="G7" s="132" t="str">
        <f t="shared" si="1"/>
        <v>-</v>
      </c>
      <c r="H7" s="116" t="str">
        <f t="shared" si="2"/>
        <v>-</v>
      </c>
      <c r="I7" s="132" t="str">
        <f t="shared" si="3"/>
        <v>-</v>
      </c>
      <c r="J7" s="132" t="str">
        <f t="shared" si="4"/>
        <v>-</v>
      </c>
      <c r="K7" s="1"/>
      <c r="L7" s="104" t="s">
        <v>67</v>
      </c>
      <c r="M7" s="134">
        <f>M5+M6</f>
        <v>350</v>
      </c>
      <c r="N7" s="1"/>
      <c r="O7" s="1"/>
    </row>
    <row r="8" ht="15.0" customHeight="1">
      <c r="A8" s="1"/>
      <c r="B8" s="65"/>
      <c r="C8" s="77"/>
      <c r="D8" s="133"/>
      <c r="E8" s="77"/>
      <c r="F8" s="77"/>
      <c r="G8" s="132" t="str">
        <f t="shared" si="1"/>
        <v>-</v>
      </c>
      <c r="H8" s="116" t="str">
        <f t="shared" si="2"/>
        <v>-</v>
      </c>
      <c r="I8" s="132" t="str">
        <f t="shared" si="3"/>
        <v>-</v>
      </c>
      <c r="J8" s="132" t="str">
        <f t="shared" si="4"/>
        <v>-</v>
      </c>
      <c r="K8" s="1"/>
      <c r="L8" s="104" t="s">
        <v>168</v>
      </c>
      <c r="M8" s="117">
        <f>IFERROR(SUMPRODUCT(C5:C9,D5:D9)/SUM(C5:C9),0)</f>
        <v>0.04</v>
      </c>
      <c r="N8" s="1"/>
      <c r="O8" s="1"/>
    </row>
    <row r="9" ht="15.0" customHeight="1">
      <c r="A9" s="1"/>
      <c r="B9" s="65"/>
      <c r="C9" s="77"/>
      <c r="D9" s="133"/>
      <c r="E9" s="77"/>
      <c r="F9" s="77"/>
      <c r="G9" s="132" t="str">
        <f t="shared" si="1"/>
        <v>-</v>
      </c>
      <c r="H9" s="116" t="str">
        <f t="shared" si="2"/>
        <v>-</v>
      </c>
      <c r="I9" s="132" t="str">
        <f t="shared" si="3"/>
        <v>-</v>
      </c>
      <c r="J9" s="132" t="str">
        <f t="shared" si="4"/>
        <v>-</v>
      </c>
      <c r="K9" s="1"/>
      <c r="L9" s="1"/>
      <c r="M9" s="1"/>
      <c r="N9" s="1"/>
      <c r="O9" s="1"/>
    </row>
    <row r="10" ht="15.0" customHeight="1">
      <c r="A10" s="1"/>
      <c r="B10" s="1"/>
      <c r="C10" s="1"/>
      <c r="D10" s="1"/>
      <c r="E10" s="1"/>
      <c r="F10" s="1"/>
      <c r="G10" s="1"/>
      <c r="H10" s="1"/>
      <c r="I10" s="1"/>
      <c r="J10" s="1"/>
      <c r="K10" s="1"/>
      <c r="L10" s="1"/>
      <c r="M10" s="1"/>
      <c r="N10" s="1"/>
      <c r="O10" s="1"/>
    </row>
    <row r="11" ht="42.0" customHeight="1">
      <c r="A11" s="1"/>
      <c r="B11" s="124" t="s">
        <v>169</v>
      </c>
      <c r="C11" s="54"/>
      <c r="D11" s="54"/>
      <c r="E11" s="54"/>
      <c r="F11" s="54"/>
      <c r="G11" s="54"/>
      <c r="H11" s="54"/>
      <c r="I11" s="54"/>
      <c r="J11" s="55"/>
      <c r="K11" s="1"/>
      <c r="L11" s="1"/>
      <c r="M11" s="1"/>
      <c r="N11" s="1"/>
      <c r="O11" s="1"/>
    </row>
    <row r="12" ht="15.0" customHeight="1">
      <c r="A12" s="1"/>
      <c r="B12" s="1"/>
      <c r="C12" s="1"/>
      <c r="D12" s="1"/>
      <c r="E12" s="1"/>
      <c r="F12" s="1"/>
      <c r="G12" s="1"/>
      <c r="H12" s="1"/>
      <c r="I12" s="1"/>
      <c r="J12" s="1"/>
      <c r="K12" s="1"/>
      <c r="L12" s="1"/>
      <c r="M12" s="1"/>
      <c r="N12" s="1"/>
      <c r="O12" s="1"/>
    </row>
    <row r="13" ht="39.0" customHeight="1">
      <c r="A13" s="1"/>
      <c r="B13" s="124" t="s">
        <v>170</v>
      </c>
      <c r="C13" s="54"/>
      <c r="D13" s="54"/>
      <c r="E13" s="54"/>
      <c r="F13" s="54"/>
      <c r="G13" s="54"/>
      <c r="H13" s="54"/>
      <c r="I13" s="54"/>
      <c r="J13" s="55"/>
      <c r="K13" s="1"/>
      <c r="L13" s="1"/>
      <c r="M13" s="1"/>
      <c r="N13" s="1"/>
      <c r="O13" s="1"/>
    </row>
    <row r="14" ht="15.0" customHeight="1">
      <c r="A14" s="1"/>
      <c r="B14" s="1"/>
      <c r="C14" s="1"/>
      <c r="D14" s="1"/>
      <c r="E14" s="1"/>
      <c r="F14" s="1"/>
      <c r="G14" s="1"/>
      <c r="H14" s="1"/>
      <c r="I14" s="1"/>
      <c r="J14" s="1"/>
      <c r="K14" s="1"/>
      <c r="L14" s="1"/>
      <c r="M14" s="1"/>
      <c r="N14" s="1"/>
      <c r="O14" s="1"/>
    </row>
    <row r="15" ht="15.0" customHeight="1">
      <c r="A15" s="1"/>
      <c r="B15" s="1"/>
      <c r="C15" s="1"/>
      <c r="D15" s="1"/>
      <c r="E15" s="1"/>
      <c r="F15" s="1"/>
      <c r="G15" s="1"/>
      <c r="H15" s="1"/>
      <c r="I15" s="1"/>
      <c r="J15" s="1"/>
      <c r="K15" s="1"/>
      <c r="L15" s="1"/>
      <c r="M15" s="1"/>
      <c r="N15" s="1"/>
      <c r="O15" s="1"/>
    </row>
    <row r="16" ht="15.0" customHeight="1">
      <c r="A16" s="1"/>
      <c r="B16" s="1"/>
      <c r="C16" s="1"/>
      <c r="D16" s="1"/>
      <c r="E16" s="1"/>
      <c r="F16" s="1"/>
      <c r="G16" s="1"/>
      <c r="H16" s="1"/>
      <c r="I16" s="1"/>
      <c r="J16" s="1"/>
      <c r="K16" s="1"/>
      <c r="L16" s="1"/>
      <c r="M16" s="1"/>
      <c r="N16" s="1"/>
      <c r="O16" s="1"/>
    </row>
    <row r="17" ht="15.0" customHeight="1">
      <c r="A17" s="1"/>
      <c r="B17" s="1"/>
      <c r="C17" s="1"/>
      <c r="D17" s="1"/>
      <c r="E17" s="1"/>
      <c r="F17" s="1"/>
      <c r="G17" s="1"/>
      <c r="H17" s="1"/>
      <c r="I17" s="1"/>
      <c r="J17" s="1"/>
      <c r="K17" s="1"/>
      <c r="L17" s="1"/>
      <c r="M17" s="1"/>
      <c r="N17" s="1"/>
      <c r="O17" s="1"/>
    </row>
    <row r="18" ht="15.0" customHeight="1">
      <c r="A18" s="1"/>
      <c r="B18" s="1"/>
      <c r="C18" s="1"/>
      <c r="D18" s="1"/>
      <c r="E18" s="1"/>
      <c r="F18" s="1"/>
      <c r="G18" s="1"/>
      <c r="H18" s="1"/>
      <c r="I18" s="1"/>
      <c r="J18" s="1"/>
      <c r="K18" s="1"/>
      <c r="L18" s="1"/>
      <c r="M18" s="1"/>
      <c r="N18" s="1"/>
      <c r="O18" s="1"/>
    </row>
    <row r="19">
      <c r="A19" s="1"/>
      <c r="B19" s="1"/>
      <c r="C19" s="1"/>
      <c r="D19" s="1"/>
      <c r="E19" s="1"/>
      <c r="F19" s="1"/>
      <c r="G19" s="1"/>
      <c r="H19" s="1"/>
      <c r="I19" s="1"/>
      <c r="J19" s="1"/>
      <c r="K19" s="1"/>
      <c r="L19" s="1"/>
      <c r="M19" s="1"/>
    </row>
    <row r="20">
      <c r="A20" s="1"/>
      <c r="B20" s="1"/>
      <c r="C20" s="1"/>
      <c r="D20" s="1"/>
      <c r="E20" s="1"/>
      <c r="F20" s="1"/>
      <c r="G20" s="1"/>
      <c r="H20" s="1"/>
      <c r="I20" s="1"/>
      <c r="J20" s="1"/>
      <c r="K20" s="1"/>
      <c r="L20" s="1"/>
      <c r="M20" s="1"/>
    </row>
    <row r="21" ht="15.75" customHeight="1">
      <c r="A21" s="1"/>
      <c r="B21" s="1"/>
      <c r="C21" s="1"/>
      <c r="D21" s="1"/>
      <c r="E21" s="1"/>
      <c r="F21" s="1"/>
      <c r="G21" s="1"/>
      <c r="H21" s="1"/>
      <c r="I21" s="1"/>
      <c r="J21" s="1"/>
      <c r="K21" s="1"/>
      <c r="L21" s="1"/>
      <c r="M21" s="1"/>
    </row>
    <row r="22" ht="15.75" customHeight="1">
      <c r="A22" s="1"/>
      <c r="B22" s="1"/>
      <c r="C22" s="1"/>
      <c r="D22" s="1"/>
      <c r="E22" s="1"/>
      <c r="F22" s="1"/>
      <c r="G22" s="1"/>
      <c r="H22" s="1"/>
      <c r="I22" s="1"/>
      <c r="J22" s="1"/>
      <c r="K22" s="1"/>
      <c r="L22" s="1"/>
      <c r="M22" s="1"/>
    </row>
    <row r="23" ht="15.75" customHeight="1">
      <c r="A23" s="1"/>
      <c r="B23" s="1"/>
      <c r="C23" s="1"/>
      <c r="D23" s="1"/>
      <c r="E23" s="1"/>
      <c r="F23" s="1"/>
      <c r="G23" s="1"/>
      <c r="H23" s="1"/>
      <c r="I23" s="1"/>
      <c r="J23" s="1"/>
      <c r="K23" s="1"/>
      <c r="L23" s="1"/>
      <c r="M23" s="1"/>
    </row>
    <row r="24" ht="15.75" customHeight="1">
      <c r="A24" s="1"/>
      <c r="B24" s="1"/>
      <c r="C24" s="1"/>
      <c r="D24" s="1"/>
      <c r="E24" s="1"/>
      <c r="F24" s="1"/>
      <c r="G24" s="1"/>
      <c r="H24" s="1"/>
      <c r="I24" s="1"/>
      <c r="J24" s="1"/>
      <c r="K24" s="1"/>
      <c r="L24" s="1"/>
      <c r="M24" s="1"/>
    </row>
    <row r="25" ht="15.75" customHeight="1">
      <c r="A25" s="1"/>
      <c r="B25" s="1"/>
      <c r="C25" s="1"/>
      <c r="D25" s="1"/>
      <c r="E25" s="1"/>
      <c r="F25" s="1"/>
      <c r="G25" s="1"/>
      <c r="H25" s="1"/>
      <c r="I25" s="1"/>
      <c r="J25" s="1"/>
      <c r="K25" s="1"/>
      <c r="L25" s="1"/>
      <c r="M25" s="1"/>
    </row>
    <row r="26" ht="15.75" customHeight="1">
      <c r="A26" s="1"/>
      <c r="B26" s="1"/>
      <c r="C26" s="1"/>
      <c r="D26" s="1"/>
      <c r="E26" s="1"/>
      <c r="F26" s="1"/>
      <c r="G26" s="1"/>
      <c r="H26" s="1"/>
      <c r="I26" s="1"/>
      <c r="J26" s="1"/>
      <c r="K26" s="1"/>
      <c r="L26" s="1"/>
      <c r="M26" s="1"/>
    </row>
    <row r="27" ht="15.75" customHeight="1">
      <c r="A27" s="1"/>
      <c r="B27" s="1"/>
      <c r="C27" s="1"/>
      <c r="D27" s="1"/>
      <c r="E27" s="1"/>
      <c r="F27" s="1"/>
      <c r="G27" s="1"/>
      <c r="H27" s="1"/>
      <c r="I27" s="1"/>
      <c r="J27" s="1"/>
      <c r="K27" s="1"/>
      <c r="L27" s="1"/>
      <c r="M27" s="1"/>
    </row>
    <row r="28" ht="15.75" customHeight="1">
      <c r="A28" s="1"/>
      <c r="B28" s="1"/>
      <c r="C28" s="1"/>
      <c r="D28" s="1"/>
      <c r="E28" s="1"/>
      <c r="F28" s="1"/>
      <c r="G28" s="1"/>
      <c r="H28" s="1"/>
      <c r="I28" s="1"/>
      <c r="J28" s="1"/>
      <c r="K28" s="1"/>
      <c r="L28" s="1"/>
      <c r="M28" s="1"/>
    </row>
    <row r="29" ht="15.75" customHeight="1">
      <c r="A29" s="1"/>
      <c r="B29" s="1"/>
      <c r="C29" s="1"/>
      <c r="D29" s="1"/>
      <c r="E29" s="1"/>
      <c r="F29" s="1"/>
      <c r="G29" s="1"/>
      <c r="H29" s="1"/>
      <c r="I29" s="1"/>
      <c r="J29" s="1"/>
      <c r="K29" s="1"/>
      <c r="L29" s="1"/>
      <c r="M29" s="1"/>
    </row>
    <row r="30" ht="15.75" customHeight="1">
      <c r="A30" s="1"/>
      <c r="B30" s="1"/>
      <c r="C30" s="1"/>
      <c r="D30" s="1"/>
      <c r="E30" s="1"/>
      <c r="F30" s="1"/>
      <c r="G30" s="1"/>
      <c r="H30" s="1"/>
      <c r="I30" s="1"/>
      <c r="J30" s="1"/>
      <c r="K30" s="1"/>
      <c r="L30" s="1"/>
      <c r="M30" s="1"/>
    </row>
    <row r="31" ht="15.75" customHeight="1">
      <c r="A31" s="1"/>
      <c r="B31" s="1"/>
      <c r="C31" s="1"/>
      <c r="D31" s="1"/>
      <c r="E31" s="1"/>
      <c r="F31" s="1"/>
      <c r="G31" s="1"/>
      <c r="H31" s="1"/>
      <c r="I31" s="1"/>
      <c r="J31" s="1"/>
      <c r="K31" s="1"/>
      <c r="L31" s="1"/>
      <c r="M31" s="1"/>
    </row>
    <row r="32" ht="15.75" customHeight="1">
      <c r="A32" s="1"/>
      <c r="B32" s="1"/>
      <c r="C32" s="1"/>
      <c r="D32" s="1"/>
      <c r="E32" s="1"/>
      <c r="F32" s="1"/>
      <c r="G32" s="1"/>
      <c r="H32" s="1"/>
      <c r="I32" s="1"/>
      <c r="J32" s="1"/>
      <c r="K32" s="1"/>
      <c r="L32" s="1"/>
      <c r="M32" s="1"/>
    </row>
    <row r="33" ht="15.75" customHeight="1">
      <c r="A33" s="1"/>
      <c r="B33" s="1"/>
      <c r="C33" s="1"/>
      <c r="D33" s="1"/>
      <c r="E33" s="1"/>
      <c r="F33" s="1"/>
      <c r="G33" s="1"/>
      <c r="H33" s="1"/>
      <c r="I33" s="1"/>
      <c r="J33" s="1"/>
      <c r="K33" s="1"/>
      <c r="L33" s="1"/>
      <c r="M33" s="1"/>
    </row>
    <row r="34" ht="15.75" customHeight="1">
      <c r="A34" s="1"/>
      <c r="B34" s="1"/>
      <c r="C34" s="1"/>
      <c r="D34" s="1"/>
      <c r="E34" s="1"/>
      <c r="F34" s="1"/>
      <c r="G34" s="1"/>
      <c r="H34" s="1"/>
      <c r="I34" s="1"/>
      <c r="J34" s="1"/>
      <c r="K34" s="1"/>
      <c r="L34" s="1"/>
      <c r="M34" s="1"/>
    </row>
    <row r="35" ht="15.75" customHeight="1">
      <c r="A35" s="1"/>
      <c r="B35" s="1"/>
      <c r="C35" s="1"/>
      <c r="D35" s="1"/>
      <c r="E35" s="1"/>
      <c r="F35" s="1"/>
      <c r="G35" s="1"/>
      <c r="H35" s="1"/>
      <c r="I35" s="1"/>
      <c r="J35" s="1"/>
      <c r="K35" s="1"/>
      <c r="L35" s="1"/>
      <c r="M35" s="1"/>
    </row>
    <row r="36" ht="15.75" customHeight="1">
      <c r="A36" s="1"/>
      <c r="B36" s="1"/>
      <c r="C36" s="1"/>
      <c r="D36" s="1"/>
      <c r="E36" s="1"/>
      <c r="F36" s="1"/>
      <c r="G36" s="1"/>
      <c r="H36" s="1"/>
      <c r="I36" s="1"/>
      <c r="J36" s="1"/>
      <c r="K36" s="1"/>
      <c r="L36" s="1"/>
      <c r="M36" s="1"/>
    </row>
    <row r="37" ht="15.75" customHeight="1">
      <c r="A37" s="1"/>
      <c r="B37" s="1"/>
      <c r="C37" s="1"/>
      <c r="D37" s="1"/>
      <c r="E37" s="1"/>
      <c r="F37" s="1"/>
      <c r="G37" s="1"/>
      <c r="H37" s="1"/>
      <c r="I37" s="1"/>
      <c r="J37" s="1"/>
      <c r="K37" s="1"/>
      <c r="L37" s="1"/>
      <c r="M37" s="1"/>
    </row>
    <row r="38" ht="15.75" customHeight="1">
      <c r="A38" s="1"/>
      <c r="B38" s="1"/>
      <c r="C38" s="1"/>
      <c r="D38" s="1"/>
      <c r="E38" s="1"/>
      <c r="F38" s="1"/>
      <c r="G38" s="1"/>
      <c r="H38" s="1"/>
      <c r="I38" s="1"/>
      <c r="J38" s="1"/>
      <c r="K38" s="1"/>
      <c r="L38" s="1"/>
      <c r="M38" s="1"/>
    </row>
    <row r="39" ht="15.75" customHeight="1">
      <c r="A39" s="1"/>
      <c r="B39" s="1"/>
      <c r="C39" s="1"/>
      <c r="D39" s="1"/>
      <c r="E39" s="1"/>
      <c r="F39" s="1"/>
      <c r="G39" s="1"/>
      <c r="H39" s="1"/>
      <c r="I39" s="1"/>
      <c r="J39" s="1"/>
      <c r="K39" s="1"/>
      <c r="L39" s="1"/>
      <c r="M39" s="1"/>
    </row>
    <row r="40" ht="15.75" customHeight="1">
      <c r="A40" s="1"/>
      <c r="B40" s="1"/>
      <c r="C40" s="1"/>
      <c r="D40" s="1"/>
      <c r="E40" s="1"/>
      <c r="F40" s="1"/>
      <c r="G40" s="1"/>
      <c r="H40" s="1"/>
      <c r="I40" s="1"/>
      <c r="J40" s="1"/>
      <c r="K40" s="1"/>
      <c r="L40" s="1"/>
      <c r="M40" s="1"/>
    </row>
    <row r="41" ht="15.75" customHeight="1">
      <c r="A41" s="1"/>
      <c r="B41" s="1"/>
      <c r="C41" s="1"/>
      <c r="D41" s="1"/>
      <c r="E41" s="1"/>
      <c r="F41" s="1"/>
      <c r="G41" s="1"/>
      <c r="H41" s="1"/>
      <c r="I41" s="1"/>
      <c r="J41" s="1"/>
      <c r="K41" s="1"/>
      <c r="L41" s="1"/>
      <c r="M41" s="1"/>
    </row>
    <row r="42" ht="15.75" customHeight="1">
      <c r="A42" s="1"/>
      <c r="B42" s="1"/>
      <c r="C42" s="1"/>
      <c r="D42" s="1"/>
      <c r="E42" s="1"/>
      <c r="F42" s="1"/>
      <c r="G42" s="1"/>
      <c r="H42" s="1"/>
      <c r="I42" s="1"/>
      <c r="J42" s="1"/>
      <c r="K42" s="1"/>
      <c r="L42" s="1"/>
      <c r="M42" s="1"/>
    </row>
    <row r="43" ht="15.75" customHeight="1">
      <c r="A43" s="1"/>
      <c r="B43" s="1"/>
      <c r="C43" s="1"/>
      <c r="D43" s="1"/>
      <c r="E43" s="1"/>
      <c r="F43" s="1"/>
      <c r="G43" s="1"/>
      <c r="H43" s="1"/>
      <c r="I43" s="1"/>
      <c r="J43" s="1"/>
      <c r="K43" s="1"/>
      <c r="L43" s="1"/>
      <c r="M43" s="1"/>
    </row>
    <row r="44" ht="15.75" customHeight="1">
      <c r="A44" s="1"/>
      <c r="B44" s="1"/>
      <c r="C44" s="1"/>
      <c r="D44" s="1"/>
      <c r="E44" s="1"/>
      <c r="F44" s="1"/>
      <c r="G44" s="1"/>
      <c r="H44" s="1"/>
      <c r="I44" s="1"/>
      <c r="J44" s="1"/>
      <c r="K44" s="1"/>
      <c r="L44" s="1"/>
      <c r="M44" s="1"/>
    </row>
    <row r="45" ht="15.75" customHeight="1">
      <c r="A45" s="1"/>
      <c r="B45" s="1"/>
      <c r="C45" s="1"/>
      <c r="D45" s="1"/>
      <c r="E45" s="1"/>
      <c r="F45" s="1"/>
      <c r="G45" s="1"/>
      <c r="H45" s="1"/>
      <c r="I45" s="1"/>
      <c r="J45" s="1"/>
      <c r="K45" s="1"/>
      <c r="L45" s="1"/>
      <c r="M45" s="1"/>
    </row>
    <row r="46" ht="15.75" customHeight="1">
      <c r="A46" s="1"/>
      <c r="B46" s="1"/>
      <c r="C46" s="1"/>
      <c r="D46" s="1"/>
      <c r="E46" s="1"/>
      <c r="F46" s="1"/>
      <c r="G46" s="1"/>
      <c r="H46" s="1"/>
      <c r="I46" s="1"/>
      <c r="J46" s="1"/>
      <c r="K46" s="1"/>
      <c r="L46" s="1"/>
      <c r="M46" s="1"/>
    </row>
    <row r="47" ht="15.75" customHeight="1">
      <c r="A47" s="1"/>
      <c r="B47" s="1"/>
      <c r="C47" s="1"/>
      <c r="D47" s="1"/>
      <c r="E47" s="1"/>
      <c r="F47" s="1"/>
      <c r="G47" s="1"/>
      <c r="H47" s="1"/>
      <c r="I47" s="1"/>
      <c r="J47" s="1"/>
      <c r="K47" s="1"/>
      <c r="L47" s="1"/>
      <c r="M47" s="1"/>
    </row>
    <row r="48" ht="15.75" customHeight="1">
      <c r="A48" s="1"/>
      <c r="B48" s="1"/>
      <c r="C48" s="1"/>
      <c r="D48" s="1"/>
      <c r="E48" s="1"/>
      <c r="F48" s="1"/>
      <c r="G48" s="1"/>
      <c r="H48" s="1"/>
      <c r="I48" s="1"/>
      <c r="J48" s="1"/>
      <c r="K48" s="1"/>
      <c r="L48" s="1"/>
      <c r="M48" s="1"/>
    </row>
    <row r="49" ht="15.75" customHeight="1">
      <c r="A49" s="1"/>
      <c r="B49" s="1"/>
      <c r="C49" s="1"/>
      <c r="D49" s="1"/>
      <c r="E49" s="1"/>
      <c r="F49" s="1"/>
      <c r="G49" s="1"/>
      <c r="H49" s="1"/>
      <c r="I49" s="1"/>
      <c r="J49" s="1"/>
      <c r="K49" s="1"/>
      <c r="L49" s="1"/>
      <c r="M49" s="1"/>
    </row>
    <row r="50" ht="15.75" customHeight="1">
      <c r="A50" s="1"/>
      <c r="B50" s="1"/>
      <c r="C50" s="1"/>
      <c r="D50" s="1"/>
      <c r="E50" s="1"/>
      <c r="F50" s="1"/>
      <c r="G50" s="1"/>
      <c r="H50" s="1"/>
      <c r="I50" s="1"/>
      <c r="J50" s="1"/>
      <c r="K50" s="1"/>
      <c r="L50" s="1"/>
      <c r="M50" s="1"/>
    </row>
    <row r="51" ht="15.75" customHeight="1">
      <c r="A51" s="1"/>
      <c r="B51" s="1"/>
      <c r="C51" s="1"/>
      <c r="D51" s="1"/>
      <c r="E51" s="1"/>
      <c r="F51" s="1"/>
      <c r="G51" s="1"/>
      <c r="H51" s="1"/>
      <c r="I51" s="1"/>
      <c r="J51" s="1"/>
      <c r="K51" s="1"/>
      <c r="L51" s="1"/>
      <c r="M51" s="1"/>
    </row>
    <row r="52" ht="15.75" customHeight="1">
      <c r="A52" s="1"/>
      <c r="B52" s="1"/>
      <c r="C52" s="1"/>
      <c r="D52" s="1"/>
      <c r="E52" s="1"/>
      <c r="F52" s="1"/>
      <c r="G52" s="1"/>
      <c r="H52" s="1"/>
      <c r="I52" s="1"/>
      <c r="J52" s="1"/>
      <c r="K52" s="1"/>
      <c r="L52" s="1"/>
      <c r="M52" s="1"/>
    </row>
    <row r="53" ht="15.75" customHeight="1">
      <c r="A53" s="1"/>
      <c r="B53" s="1"/>
      <c r="C53" s="1"/>
      <c r="D53" s="1"/>
      <c r="E53" s="1"/>
      <c r="F53" s="1"/>
      <c r="G53" s="1"/>
      <c r="H53" s="1"/>
      <c r="I53" s="1"/>
      <c r="J53" s="1"/>
      <c r="K53" s="1"/>
      <c r="L53" s="1"/>
      <c r="M53" s="1"/>
    </row>
    <row r="54" ht="15.75" customHeight="1">
      <c r="A54" s="1"/>
      <c r="B54" s="1"/>
      <c r="C54" s="1"/>
      <c r="D54" s="1"/>
      <c r="E54" s="1"/>
      <c r="F54" s="1"/>
      <c r="G54" s="1"/>
      <c r="H54" s="1"/>
      <c r="I54" s="1"/>
      <c r="J54" s="1"/>
      <c r="K54" s="1"/>
      <c r="L54" s="1"/>
      <c r="M54" s="1"/>
    </row>
    <row r="55" ht="15.75" customHeight="1">
      <c r="A55" s="1"/>
      <c r="B55" s="1"/>
      <c r="C55" s="1"/>
      <c r="D55" s="1"/>
      <c r="E55" s="1"/>
      <c r="F55" s="1"/>
      <c r="G55" s="1"/>
      <c r="H55" s="1"/>
      <c r="I55" s="1"/>
      <c r="J55" s="1"/>
      <c r="K55" s="1"/>
      <c r="L55" s="1"/>
      <c r="M55" s="1"/>
    </row>
    <row r="56" ht="15.75" customHeight="1">
      <c r="A56" s="1"/>
      <c r="B56" s="1"/>
      <c r="C56" s="1"/>
      <c r="D56" s="1"/>
      <c r="E56" s="1"/>
      <c r="F56" s="1"/>
      <c r="G56" s="1"/>
      <c r="H56" s="1"/>
      <c r="I56" s="1"/>
      <c r="J56" s="1"/>
      <c r="K56" s="1"/>
      <c r="L56" s="1"/>
      <c r="M56" s="1"/>
    </row>
    <row r="57" ht="15.75" customHeight="1">
      <c r="A57" s="1"/>
      <c r="B57" s="1"/>
      <c r="C57" s="1"/>
      <c r="D57" s="1"/>
      <c r="E57" s="1"/>
      <c r="F57" s="1"/>
      <c r="G57" s="1"/>
      <c r="H57" s="1"/>
      <c r="I57" s="1"/>
      <c r="J57" s="1"/>
      <c r="K57" s="1"/>
      <c r="L57" s="1"/>
      <c r="M57" s="1"/>
    </row>
    <row r="58" ht="15.75" customHeight="1">
      <c r="A58" s="1"/>
      <c r="B58" s="1"/>
      <c r="C58" s="1"/>
      <c r="D58" s="1"/>
      <c r="E58" s="1"/>
      <c r="F58" s="1"/>
      <c r="G58" s="1"/>
      <c r="H58" s="1"/>
      <c r="I58" s="1"/>
      <c r="J58" s="1"/>
      <c r="K58" s="1"/>
      <c r="L58" s="1"/>
      <c r="M58" s="1"/>
    </row>
    <row r="59" ht="15.75" customHeight="1">
      <c r="A59" s="1"/>
      <c r="B59" s="1"/>
      <c r="C59" s="1"/>
      <c r="D59" s="1"/>
      <c r="E59" s="1"/>
      <c r="F59" s="1"/>
      <c r="G59" s="1"/>
      <c r="H59" s="1"/>
      <c r="I59" s="1"/>
      <c r="J59" s="1"/>
      <c r="K59" s="1"/>
      <c r="L59" s="1"/>
      <c r="M59" s="1"/>
    </row>
    <row r="60" ht="15.75" customHeight="1">
      <c r="A60" s="1"/>
      <c r="B60" s="1"/>
      <c r="C60" s="1"/>
      <c r="D60" s="1"/>
      <c r="E60" s="1"/>
      <c r="F60" s="1"/>
      <c r="G60" s="1"/>
      <c r="H60" s="1"/>
      <c r="I60" s="1"/>
      <c r="J60" s="1"/>
      <c r="K60" s="1"/>
      <c r="L60" s="1"/>
      <c r="M60" s="1"/>
    </row>
    <row r="61" ht="15.75" customHeight="1">
      <c r="A61" s="1"/>
      <c r="B61" s="1"/>
      <c r="C61" s="1"/>
      <c r="D61" s="1"/>
      <c r="E61" s="1"/>
      <c r="F61" s="1"/>
      <c r="G61" s="1"/>
      <c r="H61" s="1"/>
      <c r="I61" s="1"/>
      <c r="J61" s="1"/>
      <c r="K61" s="1"/>
      <c r="L61" s="1"/>
      <c r="M61" s="1"/>
    </row>
    <row r="62" ht="15.75" customHeight="1">
      <c r="A62" s="1"/>
      <c r="B62" s="1"/>
      <c r="C62" s="1"/>
      <c r="D62" s="1"/>
      <c r="E62" s="1"/>
      <c r="F62" s="1"/>
      <c r="G62" s="1"/>
      <c r="H62" s="1"/>
      <c r="I62" s="1"/>
      <c r="J62" s="1"/>
      <c r="K62" s="1"/>
      <c r="L62" s="1"/>
      <c r="M62" s="1"/>
    </row>
    <row r="63" ht="15.75" customHeight="1">
      <c r="A63" s="1"/>
      <c r="B63" s="1"/>
      <c r="C63" s="1"/>
      <c r="D63" s="1"/>
      <c r="E63" s="1"/>
      <c r="F63" s="1"/>
      <c r="G63" s="1"/>
      <c r="H63" s="1"/>
      <c r="I63" s="1"/>
      <c r="J63" s="1"/>
      <c r="K63" s="1"/>
      <c r="L63" s="1"/>
      <c r="M63" s="1"/>
    </row>
    <row r="64" ht="15.75" customHeight="1">
      <c r="A64" s="1"/>
      <c r="B64" s="1"/>
      <c r="C64" s="1"/>
      <c r="D64" s="1"/>
      <c r="E64" s="1"/>
      <c r="F64" s="1"/>
      <c r="G64" s="1"/>
      <c r="H64" s="1"/>
      <c r="I64" s="1"/>
      <c r="J64" s="1"/>
      <c r="K64" s="1"/>
      <c r="L64" s="1"/>
      <c r="M64" s="1"/>
    </row>
    <row r="65" ht="15.75" customHeight="1">
      <c r="A65" s="1"/>
      <c r="B65" s="1"/>
      <c r="C65" s="1"/>
      <c r="D65" s="1"/>
      <c r="E65" s="1"/>
      <c r="F65" s="1"/>
      <c r="G65" s="1"/>
      <c r="H65" s="1"/>
      <c r="I65" s="1"/>
      <c r="J65" s="1"/>
      <c r="K65" s="1"/>
      <c r="L65" s="1"/>
      <c r="M65" s="1"/>
    </row>
    <row r="66" ht="15.75" customHeight="1">
      <c r="A66" s="1"/>
      <c r="B66" s="1"/>
      <c r="C66" s="1"/>
      <c r="D66" s="1"/>
      <c r="E66" s="1"/>
      <c r="F66" s="1"/>
      <c r="G66" s="1"/>
      <c r="H66" s="1"/>
      <c r="I66" s="1"/>
      <c r="J66" s="1"/>
      <c r="K66" s="1"/>
      <c r="L66" s="1"/>
      <c r="M66" s="1"/>
    </row>
    <row r="67" ht="15.75" customHeight="1">
      <c r="A67" s="1"/>
      <c r="B67" s="1"/>
      <c r="C67" s="1"/>
      <c r="D67" s="1"/>
      <c r="E67" s="1"/>
      <c r="F67" s="1"/>
      <c r="G67" s="1"/>
      <c r="H67" s="1"/>
      <c r="I67" s="1"/>
      <c r="J67" s="1"/>
      <c r="K67" s="1"/>
      <c r="L67" s="1"/>
      <c r="M67" s="1"/>
    </row>
    <row r="68" ht="15.75" customHeight="1">
      <c r="A68" s="1"/>
      <c r="B68" s="1"/>
      <c r="C68" s="1"/>
      <c r="D68" s="1"/>
      <c r="E68" s="1"/>
      <c r="F68" s="1"/>
      <c r="G68" s="1"/>
      <c r="H68" s="1"/>
      <c r="I68" s="1"/>
      <c r="J68" s="1"/>
      <c r="K68" s="1"/>
      <c r="L68" s="1"/>
      <c r="M68" s="1"/>
    </row>
    <row r="69" ht="15.75" customHeight="1">
      <c r="A69" s="1"/>
      <c r="B69" s="1"/>
      <c r="C69" s="1"/>
      <c r="D69" s="1"/>
      <c r="E69" s="1"/>
      <c r="F69" s="1"/>
      <c r="G69" s="1"/>
      <c r="H69" s="1"/>
      <c r="I69" s="1"/>
      <c r="J69" s="1"/>
      <c r="K69" s="1"/>
      <c r="L69" s="1"/>
      <c r="M69" s="1"/>
    </row>
    <row r="70" ht="15.75" customHeight="1">
      <c r="A70" s="1"/>
      <c r="B70" s="1"/>
      <c r="C70" s="1"/>
      <c r="D70" s="1"/>
      <c r="E70" s="1"/>
      <c r="F70" s="1"/>
      <c r="G70" s="1"/>
      <c r="H70" s="1"/>
      <c r="I70" s="1"/>
      <c r="J70" s="1"/>
      <c r="K70" s="1"/>
      <c r="L70" s="1"/>
      <c r="M70" s="1"/>
    </row>
    <row r="71" ht="15.75" customHeight="1">
      <c r="A71" s="1"/>
      <c r="B71" s="1"/>
      <c r="C71" s="1"/>
      <c r="D71" s="1"/>
      <c r="E71" s="1"/>
      <c r="F71" s="1"/>
      <c r="G71" s="1"/>
      <c r="H71" s="1"/>
      <c r="I71" s="1"/>
      <c r="J71" s="1"/>
      <c r="K71" s="1"/>
      <c r="L71" s="1"/>
      <c r="M71" s="1"/>
    </row>
    <row r="72" ht="15.75" customHeight="1">
      <c r="A72" s="1"/>
      <c r="B72" s="1"/>
      <c r="C72" s="1"/>
      <c r="D72" s="1"/>
      <c r="E72" s="1"/>
      <c r="F72" s="1"/>
      <c r="G72" s="1"/>
      <c r="H72" s="1"/>
      <c r="I72" s="1"/>
      <c r="J72" s="1"/>
      <c r="K72" s="1"/>
      <c r="L72" s="1"/>
      <c r="M72" s="1"/>
    </row>
    <row r="73" ht="15.75" customHeight="1">
      <c r="A73" s="1"/>
      <c r="B73" s="1"/>
      <c r="C73" s="1"/>
      <c r="D73" s="1"/>
      <c r="E73" s="1"/>
      <c r="F73" s="1"/>
      <c r="G73" s="1"/>
      <c r="H73" s="1"/>
      <c r="I73" s="1"/>
      <c r="J73" s="1"/>
      <c r="K73" s="1"/>
      <c r="L73" s="1"/>
      <c r="M73" s="1"/>
    </row>
    <row r="74" ht="15.75" customHeight="1">
      <c r="A74" s="1"/>
      <c r="B74" s="1"/>
      <c r="C74" s="1"/>
      <c r="D74" s="1"/>
      <c r="E74" s="1"/>
      <c r="F74" s="1"/>
      <c r="G74" s="1"/>
      <c r="H74" s="1"/>
      <c r="I74" s="1"/>
      <c r="J74" s="1"/>
      <c r="K74" s="1"/>
      <c r="L74" s="1"/>
      <c r="M74" s="1"/>
    </row>
    <row r="75" ht="15.75" customHeight="1">
      <c r="A75" s="1"/>
      <c r="B75" s="1"/>
      <c r="C75" s="1"/>
      <c r="D75" s="1"/>
      <c r="E75" s="1"/>
      <c r="F75" s="1"/>
      <c r="G75" s="1"/>
      <c r="H75" s="1"/>
      <c r="I75" s="1"/>
      <c r="J75" s="1"/>
      <c r="K75" s="1"/>
      <c r="L75" s="1"/>
      <c r="M75" s="1"/>
    </row>
    <row r="76" ht="15.75" customHeight="1">
      <c r="A76" s="1"/>
      <c r="B76" s="1"/>
      <c r="C76" s="1"/>
      <c r="D76" s="1"/>
      <c r="E76" s="1"/>
      <c r="F76" s="1"/>
      <c r="G76" s="1"/>
      <c r="H76" s="1"/>
      <c r="I76" s="1"/>
      <c r="J76" s="1"/>
      <c r="K76" s="1"/>
      <c r="L76" s="1"/>
      <c r="M76" s="1"/>
    </row>
    <row r="77" ht="15.75" customHeight="1">
      <c r="A77" s="1"/>
      <c r="B77" s="1"/>
      <c r="C77" s="1"/>
      <c r="D77" s="1"/>
      <c r="E77" s="1"/>
      <c r="F77" s="1"/>
      <c r="G77" s="1"/>
      <c r="H77" s="1"/>
      <c r="I77" s="1"/>
      <c r="J77" s="1"/>
      <c r="K77" s="1"/>
      <c r="L77" s="1"/>
      <c r="M77" s="1"/>
    </row>
    <row r="78" ht="15.75" customHeight="1">
      <c r="A78" s="1"/>
      <c r="B78" s="1"/>
      <c r="C78" s="1"/>
      <c r="D78" s="1"/>
      <c r="E78" s="1"/>
      <c r="F78" s="1"/>
      <c r="G78" s="1"/>
      <c r="H78" s="1"/>
      <c r="I78" s="1"/>
      <c r="J78" s="1"/>
      <c r="K78" s="1"/>
      <c r="L78" s="1"/>
      <c r="M78" s="1"/>
    </row>
    <row r="79" ht="15.75" customHeight="1">
      <c r="A79" s="1"/>
      <c r="B79" s="1"/>
      <c r="C79" s="1"/>
      <c r="D79" s="1"/>
      <c r="E79" s="1"/>
      <c r="F79" s="1"/>
      <c r="G79" s="1"/>
      <c r="H79" s="1"/>
      <c r="I79" s="1"/>
      <c r="J79" s="1"/>
      <c r="K79" s="1"/>
      <c r="L79" s="1"/>
      <c r="M79" s="1"/>
    </row>
    <row r="80" ht="15.75" customHeight="1">
      <c r="A80" s="1"/>
      <c r="B80" s="1"/>
      <c r="C80" s="1"/>
      <c r="D80" s="1"/>
      <c r="E80" s="1"/>
      <c r="F80" s="1"/>
      <c r="G80" s="1"/>
      <c r="H80" s="1"/>
      <c r="I80" s="1"/>
      <c r="J80" s="1"/>
      <c r="K80" s="1"/>
      <c r="L80" s="1"/>
      <c r="M80" s="1"/>
    </row>
    <row r="81" ht="15.75" customHeight="1">
      <c r="A81" s="1"/>
      <c r="B81" s="1"/>
      <c r="C81" s="1"/>
      <c r="D81" s="1"/>
      <c r="E81" s="1"/>
      <c r="F81" s="1"/>
      <c r="G81" s="1"/>
      <c r="H81" s="1"/>
      <c r="I81" s="1"/>
      <c r="J81" s="1"/>
      <c r="K81" s="1"/>
      <c r="L81" s="1"/>
      <c r="M81" s="1"/>
    </row>
    <row r="82" ht="15.75" customHeight="1">
      <c r="A82" s="1"/>
      <c r="B82" s="1"/>
      <c r="C82" s="1"/>
      <c r="D82" s="1"/>
      <c r="E82" s="1"/>
      <c r="F82" s="1"/>
      <c r="G82" s="1"/>
      <c r="H82" s="1"/>
      <c r="I82" s="1"/>
      <c r="J82" s="1"/>
      <c r="K82" s="1"/>
      <c r="L82" s="1"/>
      <c r="M82" s="1"/>
    </row>
    <row r="83" ht="15.75" customHeight="1">
      <c r="A83" s="1"/>
      <c r="B83" s="1"/>
      <c r="C83" s="1"/>
      <c r="D83" s="1"/>
      <c r="E83" s="1"/>
      <c r="F83" s="1"/>
      <c r="G83" s="1"/>
      <c r="H83" s="1"/>
      <c r="I83" s="1"/>
      <c r="J83" s="1"/>
      <c r="K83" s="1"/>
      <c r="L83" s="1"/>
      <c r="M83" s="1"/>
    </row>
    <row r="84" ht="15.75" customHeight="1">
      <c r="A84" s="1"/>
      <c r="B84" s="1"/>
      <c r="C84" s="1"/>
      <c r="D84" s="1"/>
      <c r="E84" s="1"/>
      <c r="F84" s="1"/>
      <c r="G84" s="1"/>
      <c r="H84" s="1"/>
      <c r="I84" s="1"/>
      <c r="J84" s="1"/>
      <c r="K84" s="1"/>
      <c r="L84" s="1"/>
      <c r="M84" s="1"/>
    </row>
    <row r="85" ht="15.75" customHeight="1">
      <c r="A85" s="1"/>
      <c r="B85" s="1"/>
      <c r="C85" s="1"/>
      <c r="D85" s="1"/>
      <c r="E85" s="1"/>
      <c r="F85" s="1"/>
      <c r="G85" s="1"/>
      <c r="H85" s="1"/>
      <c r="I85" s="1"/>
      <c r="J85" s="1"/>
      <c r="K85" s="1"/>
      <c r="L85" s="1"/>
      <c r="M85" s="1"/>
    </row>
    <row r="86" ht="15.75" customHeight="1">
      <c r="A86" s="1"/>
      <c r="B86" s="1"/>
      <c r="C86" s="1"/>
      <c r="D86" s="1"/>
      <c r="E86" s="1"/>
      <c r="F86" s="1"/>
      <c r="G86" s="1"/>
      <c r="H86" s="1"/>
      <c r="I86" s="1"/>
      <c r="J86" s="1"/>
      <c r="K86" s="1"/>
      <c r="L86" s="1"/>
      <c r="M86" s="1"/>
    </row>
    <row r="87" ht="15.75" customHeight="1">
      <c r="A87" s="1"/>
      <c r="B87" s="1"/>
      <c r="C87" s="1"/>
      <c r="D87" s="1"/>
      <c r="E87" s="1"/>
      <c r="F87" s="1"/>
      <c r="G87" s="1"/>
      <c r="H87" s="1"/>
      <c r="I87" s="1"/>
      <c r="J87" s="1"/>
      <c r="K87" s="1"/>
      <c r="L87" s="1"/>
      <c r="M87" s="1"/>
    </row>
    <row r="88" ht="15.75" customHeight="1">
      <c r="A88" s="1"/>
      <c r="B88" s="1"/>
      <c r="C88" s="1"/>
      <c r="D88" s="1"/>
      <c r="E88" s="1"/>
      <c r="F88" s="1"/>
      <c r="G88" s="1"/>
      <c r="H88" s="1"/>
      <c r="I88" s="1"/>
      <c r="J88" s="1"/>
      <c r="K88" s="1"/>
      <c r="L88" s="1"/>
      <c r="M88" s="1"/>
    </row>
    <row r="89" ht="15.75" customHeight="1">
      <c r="A89" s="1"/>
      <c r="B89" s="1"/>
      <c r="C89" s="1"/>
      <c r="D89" s="1"/>
      <c r="E89" s="1"/>
      <c r="F89" s="1"/>
      <c r="G89" s="1"/>
      <c r="H89" s="1"/>
      <c r="I89" s="1"/>
      <c r="J89" s="1"/>
      <c r="K89" s="1"/>
      <c r="L89" s="1"/>
      <c r="M89" s="1"/>
    </row>
    <row r="90" ht="15.75" customHeight="1">
      <c r="A90" s="1"/>
      <c r="B90" s="1"/>
      <c r="C90" s="1"/>
      <c r="D90" s="1"/>
      <c r="E90" s="1"/>
      <c r="F90" s="1"/>
      <c r="G90" s="1"/>
      <c r="H90" s="1"/>
      <c r="I90" s="1"/>
      <c r="J90" s="1"/>
      <c r="K90" s="1"/>
      <c r="L90" s="1"/>
      <c r="M90" s="1"/>
    </row>
    <row r="91" ht="15.75" customHeight="1">
      <c r="A91" s="1"/>
      <c r="B91" s="1"/>
      <c r="C91" s="1"/>
      <c r="D91" s="1"/>
      <c r="E91" s="1"/>
      <c r="F91" s="1"/>
      <c r="G91" s="1"/>
      <c r="H91" s="1"/>
      <c r="I91" s="1"/>
      <c r="J91" s="1"/>
      <c r="K91" s="1"/>
      <c r="L91" s="1"/>
      <c r="M91" s="1"/>
    </row>
    <row r="92" ht="15.75" customHeight="1">
      <c r="A92" s="1"/>
      <c r="B92" s="1"/>
      <c r="C92" s="1"/>
      <c r="D92" s="1"/>
      <c r="E92" s="1"/>
      <c r="F92" s="1"/>
      <c r="G92" s="1"/>
      <c r="H92" s="1"/>
      <c r="I92" s="1"/>
      <c r="J92" s="1"/>
      <c r="K92" s="1"/>
      <c r="L92" s="1"/>
      <c r="M92" s="1"/>
    </row>
    <row r="93" ht="15.75" customHeight="1">
      <c r="A93" s="1"/>
      <c r="B93" s="1"/>
      <c r="C93" s="1"/>
      <c r="D93" s="1"/>
      <c r="E93" s="1"/>
      <c r="F93" s="1"/>
      <c r="G93" s="1"/>
      <c r="H93" s="1"/>
      <c r="I93" s="1"/>
      <c r="J93" s="1"/>
      <c r="K93" s="1"/>
      <c r="L93" s="1"/>
      <c r="M93" s="1"/>
    </row>
    <row r="94" ht="15.75" customHeight="1">
      <c r="A94" s="1"/>
      <c r="B94" s="1"/>
      <c r="C94" s="1"/>
      <c r="D94" s="1"/>
      <c r="E94" s="1"/>
      <c r="F94" s="1"/>
      <c r="G94" s="1"/>
      <c r="H94" s="1"/>
      <c r="I94" s="1"/>
      <c r="J94" s="1"/>
      <c r="K94" s="1"/>
      <c r="L94" s="1"/>
      <c r="M94" s="1"/>
    </row>
    <row r="95" ht="15.75" customHeight="1">
      <c r="A95" s="1"/>
      <c r="B95" s="1"/>
      <c r="C95" s="1"/>
      <c r="D95" s="1"/>
      <c r="E95" s="1"/>
      <c r="F95" s="1"/>
      <c r="G95" s="1"/>
      <c r="H95" s="1"/>
      <c r="I95" s="1"/>
      <c r="J95" s="1"/>
      <c r="K95" s="1"/>
      <c r="L95" s="1"/>
      <c r="M95" s="1"/>
    </row>
    <row r="96" ht="15.75" customHeight="1">
      <c r="A96" s="1"/>
      <c r="B96" s="1"/>
      <c r="C96" s="1"/>
      <c r="D96" s="1"/>
      <c r="E96" s="1"/>
      <c r="F96" s="1"/>
      <c r="G96" s="1"/>
      <c r="H96" s="1"/>
      <c r="I96" s="1"/>
      <c r="J96" s="1"/>
      <c r="K96" s="1"/>
      <c r="L96" s="1"/>
      <c r="M96" s="1"/>
    </row>
    <row r="97" ht="15.75" customHeight="1">
      <c r="A97" s="1"/>
      <c r="B97" s="1"/>
      <c r="C97" s="1"/>
      <c r="D97" s="1"/>
      <c r="E97" s="1"/>
      <c r="F97" s="1"/>
      <c r="G97" s="1"/>
      <c r="H97" s="1"/>
      <c r="I97" s="1"/>
      <c r="J97" s="1"/>
      <c r="K97" s="1"/>
      <c r="L97" s="1"/>
      <c r="M97" s="1"/>
    </row>
    <row r="98" ht="15.75" customHeight="1">
      <c r="A98" s="1"/>
      <c r="B98" s="1"/>
      <c r="C98" s="1"/>
      <c r="D98" s="1"/>
      <c r="E98" s="1"/>
      <c r="F98" s="1"/>
      <c r="G98" s="1"/>
      <c r="H98" s="1"/>
      <c r="I98" s="1"/>
      <c r="J98" s="1"/>
      <c r="K98" s="1"/>
      <c r="L98" s="1"/>
      <c r="M98" s="1"/>
    </row>
    <row r="99" ht="15.75" customHeight="1">
      <c r="A99" s="1"/>
      <c r="B99" s="1"/>
      <c r="C99" s="1"/>
      <c r="D99" s="1"/>
      <c r="E99" s="1"/>
      <c r="F99" s="1"/>
      <c r="G99" s="1"/>
      <c r="H99" s="1"/>
      <c r="I99" s="1"/>
      <c r="J99" s="1"/>
      <c r="K99" s="1"/>
      <c r="L99" s="1"/>
      <c r="M99" s="1"/>
    </row>
    <row r="100" ht="15.75" customHeight="1">
      <c r="A100" s="1"/>
      <c r="B100" s="1"/>
      <c r="C100" s="1"/>
      <c r="D100" s="1"/>
      <c r="E100" s="1"/>
      <c r="F100" s="1"/>
      <c r="G100" s="1"/>
      <c r="H100" s="1"/>
      <c r="I100" s="1"/>
      <c r="J100" s="1"/>
      <c r="K100" s="1"/>
      <c r="L100" s="1"/>
      <c r="M100" s="1"/>
    </row>
    <row r="101" ht="15.75" customHeight="1">
      <c r="A101" s="1"/>
      <c r="B101" s="1"/>
      <c r="C101" s="1"/>
      <c r="D101" s="1"/>
      <c r="E101" s="1"/>
      <c r="F101" s="1"/>
      <c r="G101" s="1"/>
      <c r="H101" s="1"/>
      <c r="I101" s="1"/>
      <c r="J101" s="1"/>
      <c r="K101" s="1"/>
      <c r="L101" s="1"/>
      <c r="M101" s="1"/>
    </row>
    <row r="102" ht="15.75" customHeight="1">
      <c r="A102" s="1"/>
      <c r="B102" s="1"/>
      <c r="C102" s="1"/>
      <c r="D102" s="1"/>
      <c r="E102" s="1"/>
      <c r="F102" s="1"/>
      <c r="G102" s="1"/>
      <c r="H102" s="1"/>
      <c r="I102" s="1"/>
      <c r="J102" s="1"/>
      <c r="K102" s="1"/>
      <c r="L102" s="1"/>
      <c r="M102" s="1"/>
    </row>
    <row r="103" ht="15.75" customHeight="1">
      <c r="A103" s="1"/>
      <c r="B103" s="1"/>
      <c r="C103" s="1"/>
      <c r="D103" s="1"/>
      <c r="E103" s="1"/>
      <c r="F103" s="1"/>
      <c r="G103" s="1"/>
      <c r="H103" s="1"/>
      <c r="I103" s="1"/>
      <c r="J103" s="1"/>
      <c r="K103" s="1"/>
      <c r="L103" s="1"/>
      <c r="M103" s="1"/>
    </row>
    <row r="104" ht="15.75" customHeight="1">
      <c r="A104" s="1"/>
      <c r="B104" s="1"/>
      <c r="C104" s="1"/>
      <c r="D104" s="1"/>
      <c r="E104" s="1"/>
      <c r="F104" s="1"/>
      <c r="G104" s="1"/>
      <c r="H104" s="1"/>
      <c r="I104" s="1"/>
      <c r="J104" s="1"/>
      <c r="K104" s="1"/>
      <c r="L104" s="1"/>
      <c r="M104" s="1"/>
    </row>
    <row r="105" ht="15.75" customHeight="1">
      <c r="A105" s="1"/>
      <c r="B105" s="1"/>
      <c r="C105" s="1"/>
      <c r="D105" s="1"/>
      <c r="E105" s="1"/>
      <c r="F105" s="1"/>
      <c r="G105" s="1"/>
      <c r="H105" s="1"/>
      <c r="I105" s="1"/>
      <c r="J105" s="1"/>
      <c r="K105" s="1"/>
      <c r="L105" s="1"/>
      <c r="M105" s="1"/>
    </row>
    <row r="106" ht="15.75" customHeight="1">
      <c r="A106" s="1"/>
      <c r="B106" s="1"/>
      <c r="C106" s="1"/>
      <c r="D106" s="1"/>
      <c r="E106" s="1"/>
      <c r="F106" s="1"/>
      <c r="G106" s="1"/>
      <c r="H106" s="1"/>
      <c r="I106" s="1"/>
      <c r="J106" s="1"/>
      <c r="K106" s="1"/>
      <c r="L106" s="1"/>
      <c r="M106" s="1"/>
    </row>
    <row r="107" ht="15.75" customHeight="1">
      <c r="A107" s="1"/>
      <c r="B107" s="1"/>
      <c r="C107" s="1"/>
      <c r="D107" s="1"/>
      <c r="E107" s="1"/>
      <c r="F107" s="1"/>
      <c r="G107" s="1"/>
      <c r="H107" s="1"/>
      <c r="I107" s="1"/>
      <c r="J107" s="1"/>
      <c r="K107" s="1"/>
      <c r="L107" s="1"/>
      <c r="M107" s="1"/>
    </row>
    <row r="108" ht="15.75" customHeight="1">
      <c r="A108" s="1"/>
      <c r="B108" s="1"/>
      <c r="C108" s="1"/>
      <c r="D108" s="1"/>
      <c r="E108" s="1"/>
      <c r="F108" s="1"/>
      <c r="G108" s="1"/>
      <c r="H108" s="1"/>
      <c r="I108" s="1"/>
      <c r="J108" s="1"/>
      <c r="K108" s="1"/>
      <c r="L108" s="1"/>
      <c r="M108" s="1"/>
    </row>
    <row r="109" ht="15.75" customHeight="1">
      <c r="A109" s="1"/>
      <c r="B109" s="1"/>
      <c r="C109" s="1"/>
      <c r="D109" s="1"/>
      <c r="E109" s="1"/>
      <c r="F109" s="1"/>
      <c r="G109" s="1"/>
      <c r="H109" s="1"/>
      <c r="I109" s="1"/>
      <c r="J109" s="1"/>
      <c r="K109" s="1"/>
      <c r="L109" s="1"/>
      <c r="M109" s="1"/>
    </row>
    <row r="110" ht="15.75" customHeight="1">
      <c r="A110" s="1"/>
      <c r="B110" s="1"/>
      <c r="C110" s="1"/>
      <c r="D110" s="1"/>
      <c r="E110" s="1"/>
      <c r="F110" s="1"/>
      <c r="G110" s="1"/>
      <c r="H110" s="1"/>
      <c r="I110" s="1"/>
      <c r="J110" s="1"/>
      <c r="K110" s="1"/>
      <c r="L110" s="1"/>
      <c r="M110" s="1"/>
    </row>
    <row r="111" ht="15.75" customHeight="1">
      <c r="A111" s="1"/>
      <c r="B111" s="1"/>
      <c r="C111" s="1"/>
      <c r="D111" s="1"/>
      <c r="E111" s="1"/>
      <c r="F111" s="1"/>
      <c r="G111" s="1"/>
      <c r="H111" s="1"/>
      <c r="I111" s="1"/>
      <c r="J111" s="1"/>
      <c r="K111" s="1"/>
      <c r="L111" s="1"/>
      <c r="M111" s="1"/>
    </row>
    <row r="112" ht="15.75" customHeight="1">
      <c r="A112" s="1"/>
      <c r="B112" s="1"/>
      <c r="C112" s="1"/>
      <c r="D112" s="1"/>
      <c r="E112" s="1"/>
      <c r="F112" s="1"/>
      <c r="G112" s="1"/>
      <c r="H112" s="1"/>
      <c r="I112" s="1"/>
      <c r="J112" s="1"/>
      <c r="K112" s="1"/>
      <c r="L112" s="1"/>
      <c r="M112" s="1"/>
    </row>
    <row r="113" ht="15.75" customHeight="1">
      <c r="A113" s="1"/>
      <c r="B113" s="1"/>
      <c r="C113" s="1"/>
      <c r="D113" s="1"/>
      <c r="E113" s="1"/>
      <c r="F113" s="1"/>
      <c r="G113" s="1"/>
      <c r="H113" s="1"/>
      <c r="I113" s="1"/>
      <c r="J113" s="1"/>
      <c r="K113" s="1"/>
      <c r="L113" s="1"/>
      <c r="M113" s="1"/>
    </row>
    <row r="114" ht="15.75" customHeight="1">
      <c r="A114" s="1"/>
      <c r="B114" s="1"/>
      <c r="C114" s="1"/>
      <c r="D114" s="1"/>
      <c r="E114" s="1"/>
      <c r="F114" s="1"/>
      <c r="G114" s="1"/>
      <c r="H114" s="1"/>
      <c r="I114" s="1"/>
      <c r="J114" s="1"/>
      <c r="K114" s="1"/>
      <c r="L114" s="1"/>
      <c r="M114" s="1"/>
    </row>
    <row r="115" ht="15.75" customHeight="1">
      <c r="A115" s="1"/>
      <c r="B115" s="1"/>
      <c r="C115" s="1"/>
      <c r="D115" s="1"/>
      <c r="E115" s="1"/>
      <c r="F115" s="1"/>
      <c r="G115" s="1"/>
      <c r="H115" s="1"/>
      <c r="I115" s="1"/>
      <c r="J115" s="1"/>
      <c r="K115" s="1"/>
      <c r="L115" s="1"/>
      <c r="M115" s="1"/>
    </row>
    <row r="116" ht="15.75" customHeight="1">
      <c r="A116" s="1"/>
      <c r="B116" s="1"/>
      <c r="C116" s="1"/>
      <c r="D116" s="1"/>
      <c r="E116" s="1"/>
      <c r="F116" s="1"/>
      <c r="G116" s="1"/>
      <c r="H116" s="1"/>
      <c r="I116" s="1"/>
      <c r="J116" s="1"/>
      <c r="K116" s="1"/>
      <c r="L116" s="1"/>
      <c r="M116" s="1"/>
    </row>
    <row r="117" ht="15.75" customHeight="1">
      <c r="A117" s="1"/>
      <c r="B117" s="1"/>
      <c r="C117" s="1"/>
      <c r="D117" s="1"/>
      <c r="E117" s="1"/>
      <c r="F117" s="1"/>
      <c r="G117" s="1"/>
      <c r="H117" s="1"/>
      <c r="I117" s="1"/>
      <c r="J117" s="1"/>
      <c r="K117" s="1"/>
      <c r="L117" s="1"/>
      <c r="M117" s="1"/>
    </row>
    <row r="118" ht="15.75" customHeight="1">
      <c r="A118" s="1"/>
      <c r="B118" s="1"/>
      <c r="C118" s="1"/>
      <c r="D118" s="1"/>
      <c r="E118" s="1"/>
      <c r="F118" s="1"/>
      <c r="G118" s="1"/>
      <c r="H118" s="1"/>
      <c r="I118" s="1"/>
      <c r="J118" s="1"/>
      <c r="K118" s="1"/>
      <c r="L118" s="1"/>
      <c r="M118" s="1"/>
    </row>
    <row r="119" ht="15.75" customHeight="1">
      <c r="A119" s="1"/>
      <c r="B119" s="1"/>
      <c r="C119" s="1"/>
      <c r="D119" s="1"/>
      <c r="E119" s="1"/>
      <c r="F119" s="1"/>
      <c r="G119" s="1"/>
      <c r="H119" s="1"/>
      <c r="I119" s="1"/>
      <c r="J119" s="1"/>
      <c r="K119" s="1"/>
      <c r="L119" s="1"/>
      <c r="M119" s="1"/>
    </row>
    <row r="120" ht="15.75" customHeight="1">
      <c r="A120" s="1"/>
      <c r="B120" s="1"/>
      <c r="C120" s="1"/>
      <c r="D120" s="1"/>
      <c r="E120" s="1"/>
      <c r="F120" s="1"/>
      <c r="G120" s="1"/>
      <c r="H120" s="1"/>
      <c r="I120" s="1"/>
      <c r="J120" s="1"/>
      <c r="K120" s="1"/>
      <c r="L120" s="1"/>
      <c r="M120" s="1"/>
    </row>
    <row r="121" ht="15.75" customHeight="1">
      <c r="A121" s="1"/>
      <c r="B121" s="1"/>
      <c r="C121" s="1"/>
      <c r="D121" s="1"/>
      <c r="E121" s="1"/>
      <c r="F121" s="1"/>
      <c r="G121" s="1"/>
      <c r="H121" s="1"/>
      <c r="I121" s="1"/>
      <c r="J121" s="1"/>
      <c r="K121" s="1"/>
      <c r="L121" s="1"/>
      <c r="M121" s="1"/>
    </row>
    <row r="122" ht="15.75" customHeight="1">
      <c r="A122" s="1"/>
      <c r="B122" s="1"/>
      <c r="C122" s="1"/>
      <c r="D122" s="1"/>
      <c r="E122" s="1"/>
      <c r="F122" s="1"/>
      <c r="G122" s="1"/>
      <c r="H122" s="1"/>
      <c r="I122" s="1"/>
      <c r="J122" s="1"/>
      <c r="K122" s="1"/>
      <c r="L122" s="1"/>
      <c r="M122" s="1"/>
    </row>
    <row r="123" ht="15.75" customHeight="1">
      <c r="A123" s="1"/>
      <c r="B123" s="1"/>
      <c r="C123" s="1"/>
      <c r="D123" s="1"/>
      <c r="E123" s="1"/>
      <c r="F123" s="1"/>
      <c r="G123" s="1"/>
      <c r="H123" s="1"/>
      <c r="I123" s="1"/>
      <c r="J123" s="1"/>
      <c r="K123" s="1"/>
      <c r="L123" s="1"/>
      <c r="M123" s="1"/>
    </row>
    <row r="124" ht="15.75" customHeight="1">
      <c r="A124" s="1"/>
      <c r="B124" s="1"/>
      <c r="C124" s="1"/>
      <c r="D124" s="1"/>
      <c r="E124" s="1"/>
      <c r="F124" s="1"/>
      <c r="G124" s="1"/>
      <c r="H124" s="1"/>
      <c r="I124" s="1"/>
      <c r="J124" s="1"/>
      <c r="K124" s="1"/>
      <c r="L124" s="1"/>
      <c r="M124" s="1"/>
    </row>
    <row r="125" ht="15.75" customHeight="1">
      <c r="A125" s="1"/>
      <c r="B125" s="1"/>
      <c r="C125" s="1"/>
      <c r="D125" s="1"/>
      <c r="E125" s="1"/>
      <c r="F125" s="1"/>
      <c r="G125" s="1"/>
      <c r="H125" s="1"/>
      <c r="I125" s="1"/>
      <c r="J125" s="1"/>
      <c r="K125" s="1"/>
      <c r="L125" s="1"/>
      <c r="M125" s="1"/>
    </row>
    <row r="126" ht="15.75" customHeight="1">
      <c r="A126" s="1"/>
      <c r="B126" s="1"/>
      <c r="C126" s="1"/>
      <c r="D126" s="1"/>
      <c r="E126" s="1"/>
      <c r="F126" s="1"/>
      <c r="G126" s="1"/>
      <c r="H126" s="1"/>
      <c r="I126" s="1"/>
      <c r="J126" s="1"/>
      <c r="K126" s="1"/>
      <c r="L126" s="1"/>
      <c r="M126" s="1"/>
    </row>
    <row r="127" ht="15.75" customHeight="1">
      <c r="A127" s="1"/>
      <c r="B127" s="1"/>
      <c r="C127" s="1"/>
      <c r="D127" s="1"/>
      <c r="E127" s="1"/>
      <c r="F127" s="1"/>
      <c r="G127" s="1"/>
      <c r="H127" s="1"/>
      <c r="I127" s="1"/>
      <c r="J127" s="1"/>
      <c r="K127" s="1"/>
      <c r="L127" s="1"/>
      <c r="M127" s="1"/>
    </row>
    <row r="128" ht="15.75" customHeight="1">
      <c r="A128" s="1"/>
      <c r="B128" s="1"/>
      <c r="C128" s="1"/>
      <c r="D128" s="1"/>
      <c r="E128" s="1"/>
      <c r="F128" s="1"/>
      <c r="G128" s="1"/>
      <c r="H128" s="1"/>
      <c r="I128" s="1"/>
      <c r="J128" s="1"/>
      <c r="K128" s="1"/>
      <c r="L128" s="1"/>
      <c r="M128" s="1"/>
    </row>
    <row r="129" ht="15.75" customHeight="1">
      <c r="A129" s="1"/>
      <c r="B129" s="1"/>
      <c r="C129" s="1"/>
      <c r="D129" s="1"/>
      <c r="E129" s="1"/>
      <c r="F129" s="1"/>
      <c r="G129" s="1"/>
      <c r="H129" s="1"/>
      <c r="I129" s="1"/>
      <c r="J129" s="1"/>
      <c r="K129" s="1"/>
      <c r="L129" s="1"/>
      <c r="M129" s="1"/>
    </row>
    <row r="130" ht="15.75" customHeight="1">
      <c r="A130" s="1"/>
      <c r="B130" s="1"/>
      <c r="C130" s="1"/>
      <c r="D130" s="1"/>
      <c r="E130" s="1"/>
      <c r="F130" s="1"/>
      <c r="G130" s="1"/>
      <c r="H130" s="1"/>
      <c r="I130" s="1"/>
      <c r="J130" s="1"/>
      <c r="K130" s="1"/>
      <c r="L130" s="1"/>
      <c r="M130" s="1"/>
    </row>
    <row r="131" ht="15.75" customHeight="1">
      <c r="A131" s="1"/>
      <c r="B131" s="1"/>
      <c r="C131" s="1"/>
      <c r="D131" s="1"/>
      <c r="E131" s="1"/>
      <c r="F131" s="1"/>
      <c r="G131" s="1"/>
      <c r="H131" s="1"/>
      <c r="I131" s="1"/>
      <c r="J131" s="1"/>
      <c r="K131" s="1"/>
      <c r="L131" s="1"/>
      <c r="M131" s="1"/>
    </row>
    <row r="132" ht="15.75" customHeight="1">
      <c r="A132" s="1"/>
      <c r="B132" s="1"/>
      <c r="C132" s="1"/>
      <c r="D132" s="1"/>
      <c r="E132" s="1"/>
      <c r="F132" s="1"/>
      <c r="G132" s="1"/>
      <c r="H132" s="1"/>
      <c r="I132" s="1"/>
      <c r="J132" s="1"/>
      <c r="K132" s="1"/>
      <c r="L132" s="1"/>
      <c r="M132" s="1"/>
    </row>
    <row r="133" ht="15.75" customHeight="1">
      <c r="A133" s="1"/>
      <c r="B133" s="1"/>
      <c r="C133" s="1"/>
      <c r="D133" s="1"/>
      <c r="E133" s="1"/>
      <c r="F133" s="1"/>
      <c r="G133" s="1"/>
      <c r="H133" s="1"/>
      <c r="I133" s="1"/>
      <c r="J133" s="1"/>
      <c r="K133" s="1"/>
      <c r="L133" s="1"/>
      <c r="M133" s="1"/>
    </row>
    <row r="134" ht="15.75" customHeight="1">
      <c r="A134" s="1"/>
      <c r="B134" s="1"/>
      <c r="C134" s="1"/>
      <c r="D134" s="1"/>
      <c r="E134" s="1"/>
      <c r="F134" s="1"/>
      <c r="G134" s="1"/>
      <c r="H134" s="1"/>
      <c r="I134" s="1"/>
      <c r="J134" s="1"/>
      <c r="K134" s="1"/>
      <c r="L134" s="1"/>
      <c r="M134" s="1"/>
    </row>
    <row r="135" ht="15.75" customHeight="1">
      <c r="A135" s="1"/>
      <c r="B135" s="1"/>
      <c r="C135" s="1"/>
      <c r="D135" s="1"/>
      <c r="E135" s="1"/>
      <c r="F135" s="1"/>
      <c r="G135" s="1"/>
      <c r="H135" s="1"/>
      <c r="I135" s="1"/>
      <c r="J135" s="1"/>
      <c r="K135" s="1"/>
      <c r="L135" s="1"/>
      <c r="M135" s="1"/>
    </row>
    <row r="136" ht="15.75" customHeight="1">
      <c r="A136" s="1"/>
      <c r="B136" s="1"/>
      <c r="C136" s="1"/>
      <c r="D136" s="1"/>
      <c r="E136" s="1"/>
      <c r="F136" s="1"/>
      <c r="G136" s="1"/>
      <c r="H136" s="1"/>
      <c r="I136" s="1"/>
      <c r="J136" s="1"/>
      <c r="K136" s="1"/>
      <c r="L136" s="1"/>
      <c r="M136" s="1"/>
    </row>
    <row r="137" ht="15.75" customHeight="1">
      <c r="A137" s="1"/>
      <c r="B137" s="1"/>
      <c r="C137" s="1"/>
      <c r="D137" s="1"/>
      <c r="E137" s="1"/>
      <c r="F137" s="1"/>
      <c r="G137" s="1"/>
      <c r="H137" s="1"/>
      <c r="I137" s="1"/>
      <c r="J137" s="1"/>
      <c r="K137" s="1"/>
      <c r="L137" s="1"/>
      <c r="M137" s="1"/>
    </row>
    <row r="138" ht="15.75" customHeight="1">
      <c r="A138" s="1"/>
      <c r="B138" s="1"/>
      <c r="C138" s="1"/>
      <c r="D138" s="1"/>
      <c r="E138" s="1"/>
      <c r="F138" s="1"/>
      <c r="G138" s="1"/>
      <c r="H138" s="1"/>
      <c r="I138" s="1"/>
      <c r="J138" s="1"/>
      <c r="K138" s="1"/>
      <c r="L138" s="1"/>
      <c r="M138" s="1"/>
    </row>
    <row r="139" ht="15.75" customHeight="1">
      <c r="A139" s="1"/>
      <c r="B139" s="1"/>
      <c r="C139" s="1"/>
      <c r="D139" s="1"/>
      <c r="E139" s="1"/>
      <c r="F139" s="1"/>
      <c r="G139" s="1"/>
      <c r="H139" s="1"/>
      <c r="I139" s="1"/>
      <c r="J139" s="1"/>
      <c r="K139" s="1"/>
      <c r="L139" s="1"/>
      <c r="M139" s="1"/>
    </row>
    <row r="140" ht="15.75" customHeight="1">
      <c r="A140" s="1"/>
      <c r="B140" s="1"/>
      <c r="C140" s="1"/>
      <c r="D140" s="1"/>
      <c r="E140" s="1"/>
      <c r="F140" s="1"/>
      <c r="G140" s="1"/>
      <c r="H140" s="1"/>
      <c r="I140" s="1"/>
      <c r="J140" s="1"/>
      <c r="K140" s="1"/>
      <c r="L140" s="1"/>
      <c r="M140" s="1"/>
    </row>
    <row r="141" ht="15.75" customHeight="1">
      <c r="A141" s="1"/>
      <c r="B141" s="1"/>
      <c r="C141" s="1"/>
      <c r="D141" s="1"/>
      <c r="E141" s="1"/>
      <c r="F141" s="1"/>
      <c r="G141" s="1"/>
      <c r="H141" s="1"/>
      <c r="I141" s="1"/>
      <c r="J141" s="1"/>
      <c r="K141" s="1"/>
      <c r="L141" s="1"/>
      <c r="M141" s="1"/>
    </row>
    <row r="142" ht="15.75" customHeight="1">
      <c r="A142" s="1"/>
      <c r="B142" s="1"/>
      <c r="C142" s="1"/>
      <c r="D142" s="1"/>
      <c r="E142" s="1"/>
      <c r="F142" s="1"/>
      <c r="G142" s="1"/>
      <c r="H142" s="1"/>
      <c r="I142" s="1"/>
      <c r="J142" s="1"/>
      <c r="K142" s="1"/>
      <c r="L142" s="1"/>
      <c r="M142" s="1"/>
    </row>
    <row r="143" ht="15.75" customHeight="1">
      <c r="A143" s="1"/>
      <c r="B143" s="1"/>
      <c r="C143" s="1"/>
      <c r="D143" s="1"/>
      <c r="E143" s="1"/>
      <c r="F143" s="1"/>
      <c r="G143" s="1"/>
      <c r="H143" s="1"/>
      <c r="I143" s="1"/>
      <c r="J143" s="1"/>
      <c r="K143" s="1"/>
      <c r="L143" s="1"/>
      <c r="M143" s="1"/>
    </row>
    <row r="144" ht="15.75" customHeight="1">
      <c r="A144" s="1"/>
      <c r="B144" s="1"/>
      <c r="C144" s="1"/>
      <c r="D144" s="1"/>
      <c r="E144" s="1"/>
      <c r="F144" s="1"/>
      <c r="G144" s="1"/>
      <c r="H144" s="1"/>
      <c r="I144" s="1"/>
      <c r="J144" s="1"/>
      <c r="K144" s="1"/>
      <c r="L144" s="1"/>
      <c r="M144" s="1"/>
    </row>
    <row r="145" ht="15.75" customHeight="1">
      <c r="A145" s="1"/>
      <c r="B145" s="1"/>
      <c r="C145" s="1"/>
      <c r="D145" s="1"/>
      <c r="E145" s="1"/>
      <c r="F145" s="1"/>
      <c r="G145" s="1"/>
      <c r="H145" s="1"/>
      <c r="I145" s="1"/>
      <c r="J145" s="1"/>
      <c r="K145" s="1"/>
      <c r="L145" s="1"/>
      <c r="M145" s="1"/>
    </row>
    <row r="146" ht="15.75" customHeight="1">
      <c r="A146" s="1"/>
      <c r="B146" s="1"/>
      <c r="C146" s="1"/>
      <c r="D146" s="1"/>
      <c r="E146" s="1"/>
      <c r="F146" s="1"/>
      <c r="G146" s="1"/>
      <c r="H146" s="1"/>
      <c r="I146" s="1"/>
      <c r="J146" s="1"/>
      <c r="K146" s="1"/>
      <c r="L146" s="1"/>
      <c r="M146" s="1"/>
    </row>
    <row r="147" ht="15.75" customHeight="1">
      <c r="A147" s="1"/>
      <c r="B147" s="1"/>
      <c r="C147" s="1"/>
      <c r="D147" s="1"/>
      <c r="E147" s="1"/>
      <c r="F147" s="1"/>
      <c r="G147" s="1"/>
      <c r="H147" s="1"/>
      <c r="I147" s="1"/>
      <c r="J147" s="1"/>
      <c r="K147" s="1"/>
      <c r="L147" s="1"/>
      <c r="M147" s="1"/>
    </row>
    <row r="148" ht="15.75" customHeight="1">
      <c r="A148" s="1"/>
      <c r="B148" s="1"/>
      <c r="C148" s="1"/>
      <c r="D148" s="1"/>
      <c r="E148" s="1"/>
      <c r="F148" s="1"/>
      <c r="G148" s="1"/>
      <c r="H148" s="1"/>
      <c r="I148" s="1"/>
      <c r="J148" s="1"/>
      <c r="K148" s="1"/>
      <c r="L148" s="1"/>
      <c r="M148" s="1"/>
    </row>
    <row r="149" ht="15.75" customHeight="1">
      <c r="A149" s="1"/>
      <c r="B149" s="1"/>
      <c r="C149" s="1"/>
      <c r="D149" s="1"/>
      <c r="E149" s="1"/>
      <c r="F149" s="1"/>
      <c r="G149" s="1"/>
      <c r="H149" s="1"/>
      <c r="I149" s="1"/>
      <c r="J149" s="1"/>
      <c r="K149" s="1"/>
      <c r="L149" s="1"/>
      <c r="M149" s="1"/>
    </row>
    <row r="150" ht="15.75" customHeight="1">
      <c r="A150" s="1"/>
      <c r="B150" s="1"/>
      <c r="C150" s="1"/>
      <c r="D150" s="1"/>
      <c r="E150" s="1"/>
      <c r="F150" s="1"/>
      <c r="G150" s="1"/>
      <c r="H150" s="1"/>
      <c r="I150" s="1"/>
      <c r="J150" s="1"/>
      <c r="K150" s="1"/>
      <c r="L150" s="1"/>
      <c r="M150" s="1"/>
    </row>
    <row r="151" ht="15.75" customHeight="1">
      <c r="A151" s="1"/>
      <c r="B151" s="1"/>
      <c r="C151" s="1"/>
      <c r="D151" s="1"/>
      <c r="E151" s="1"/>
      <c r="F151" s="1"/>
      <c r="G151" s="1"/>
      <c r="H151" s="1"/>
      <c r="I151" s="1"/>
      <c r="J151" s="1"/>
      <c r="K151" s="1"/>
      <c r="L151" s="1"/>
      <c r="M151" s="1"/>
    </row>
    <row r="152" ht="15.75" customHeight="1">
      <c r="A152" s="1"/>
      <c r="B152" s="1"/>
      <c r="C152" s="1"/>
      <c r="D152" s="1"/>
      <c r="E152" s="1"/>
      <c r="F152" s="1"/>
      <c r="G152" s="1"/>
      <c r="H152" s="1"/>
      <c r="I152" s="1"/>
      <c r="J152" s="1"/>
      <c r="K152" s="1"/>
      <c r="L152" s="1"/>
      <c r="M152" s="1"/>
    </row>
    <row r="153" ht="15.75" customHeight="1">
      <c r="A153" s="1"/>
      <c r="B153" s="1"/>
      <c r="C153" s="1"/>
      <c r="D153" s="1"/>
      <c r="E153" s="1"/>
      <c r="F153" s="1"/>
      <c r="G153" s="1"/>
      <c r="H153" s="1"/>
      <c r="I153" s="1"/>
      <c r="J153" s="1"/>
      <c r="K153" s="1"/>
      <c r="L153" s="1"/>
      <c r="M153" s="1"/>
    </row>
    <row r="154" ht="15.75" customHeight="1">
      <c r="A154" s="1"/>
      <c r="B154" s="1"/>
      <c r="C154" s="1"/>
      <c r="D154" s="1"/>
      <c r="E154" s="1"/>
      <c r="F154" s="1"/>
      <c r="G154" s="1"/>
      <c r="H154" s="1"/>
      <c r="I154" s="1"/>
      <c r="J154" s="1"/>
      <c r="K154" s="1"/>
      <c r="L154" s="1"/>
      <c r="M154" s="1"/>
    </row>
    <row r="155" ht="15.75" customHeight="1">
      <c r="A155" s="1"/>
      <c r="B155" s="1"/>
      <c r="C155" s="1"/>
      <c r="D155" s="1"/>
      <c r="E155" s="1"/>
      <c r="F155" s="1"/>
      <c r="G155" s="1"/>
      <c r="H155" s="1"/>
      <c r="I155" s="1"/>
      <c r="J155" s="1"/>
      <c r="K155" s="1"/>
      <c r="L155" s="1"/>
      <c r="M155" s="1"/>
    </row>
    <row r="156" ht="15.75" customHeight="1">
      <c r="A156" s="1"/>
      <c r="B156" s="1"/>
      <c r="C156" s="1"/>
      <c r="D156" s="1"/>
      <c r="E156" s="1"/>
      <c r="F156" s="1"/>
      <c r="G156" s="1"/>
      <c r="H156" s="1"/>
      <c r="I156" s="1"/>
      <c r="J156" s="1"/>
      <c r="K156" s="1"/>
      <c r="L156" s="1"/>
      <c r="M156" s="1"/>
    </row>
    <row r="157" ht="15.75" customHeight="1">
      <c r="A157" s="1"/>
      <c r="B157" s="1"/>
      <c r="C157" s="1"/>
      <c r="D157" s="1"/>
      <c r="E157" s="1"/>
      <c r="F157" s="1"/>
      <c r="G157" s="1"/>
      <c r="H157" s="1"/>
      <c r="I157" s="1"/>
      <c r="J157" s="1"/>
      <c r="K157" s="1"/>
      <c r="L157" s="1"/>
      <c r="M157" s="1"/>
    </row>
    <row r="158" ht="15.75" customHeight="1">
      <c r="A158" s="1"/>
      <c r="B158" s="1"/>
      <c r="C158" s="1"/>
      <c r="D158" s="1"/>
      <c r="E158" s="1"/>
      <c r="F158" s="1"/>
      <c r="G158" s="1"/>
      <c r="H158" s="1"/>
      <c r="I158" s="1"/>
      <c r="J158" s="1"/>
      <c r="K158" s="1"/>
      <c r="L158" s="1"/>
      <c r="M158" s="1"/>
    </row>
    <row r="159" ht="15.75" customHeight="1">
      <c r="A159" s="1"/>
      <c r="B159" s="1"/>
      <c r="C159" s="1"/>
      <c r="D159" s="1"/>
      <c r="E159" s="1"/>
      <c r="F159" s="1"/>
      <c r="G159" s="1"/>
      <c r="H159" s="1"/>
      <c r="I159" s="1"/>
      <c r="J159" s="1"/>
      <c r="K159" s="1"/>
      <c r="L159" s="1"/>
      <c r="M159" s="1"/>
    </row>
    <row r="160" ht="15.75" customHeight="1">
      <c r="A160" s="1"/>
      <c r="B160" s="1"/>
      <c r="C160" s="1"/>
      <c r="D160" s="1"/>
      <c r="E160" s="1"/>
      <c r="F160" s="1"/>
      <c r="G160" s="1"/>
      <c r="H160" s="1"/>
      <c r="I160" s="1"/>
      <c r="J160" s="1"/>
      <c r="K160" s="1"/>
      <c r="L160" s="1"/>
      <c r="M160" s="1"/>
    </row>
    <row r="161" ht="15.75" customHeight="1">
      <c r="A161" s="1"/>
      <c r="B161" s="1"/>
      <c r="C161" s="1"/>
      <c r="D161" s="1"/>
      <c r="E161" s="1"/>
      <c r="F161" s="1"/>
      <c r="G161" s="1"/>
      <c r="H161" s="1"/>
      <c r="I161" s="1"/>
      <c r="J161" s="1"/>
      <c r="K161" s="1"/>
      <c r="L161" s="1"/>
      <c r="M161" s="1"/>
    </row>
    <row r="162" ht="15.75" customHeight="1">
      <c r="A162" s="1"/>
      <c r="B162" s="1"/>
      <c r="C162" s="1"/>
      <c r="D162" s="1"/>
      <c r="E162" s="1"/>
      <c r="F162" s="1"/>
      <c r="G162" s="1"/>
      <c r="H162" s="1"/>
      <c r="I162" s="1"/>
      <c r="J162" s="1"/>
      <c r="K162" s="1"/>
      <c r="L162" s="1"/>
      <c r="M162" s="1"/>
    </row>
    <row r="163" ht="15.75" customHeight="1">
      <c r="A163" s="1"/>
      <c r="B163" s="1"/>
      <c r="C163" s="1"/>
      <c r="D163" s="1"/>
      <c r="E163" s="1"/>
      <c r="F163" s="1"/>
      <c r="G163" s="1"/>
      <c r="H163" s="1"/>
      <c r="I163" s="1"/>
      <c r="J163" s="1"/>
      <c r="K163" s="1"/>
      <c r="L163" s="1"/>
      <c r="M163" s="1"/>
    </row>
    <row r="164" ht="15.75" customHeight="1">
      <c r="A164" s="1"/>
      <c r="B164" s="1"/>
      <c r="C164" s="1"/>
      <c r="D164" s="1"/>
      <c r="E164" s="1"/>
      <c r="F164" s="1"/>
      <c r="G164" s="1"/>
      <c r="H164" s="1"/>
      <c r="I164" s="1"/>
      <c r="J164" s="1"/>
      <c r="K164" s="1"/>
      <c r="L164" s="1"/>
      <c r="M164" s="1"/>
    </row>
    <row r="165" ht="15.75" customHeight="1">
      <c r="A165" s="1"/>
      <c r="B165" s="1"/>
      <c r="C165" s="1"/>
      <c r="D165" s="1"/>
      <c r="E165" s="1"/>
      <c r="F165" s="1"/>
      <c r="G165" s="1"/>
      <c r="H165" s="1"/>
      <c r="I165" s="1"/>
      <c r="J165" s="1"/>
      <c r="K165" s="1"/>
      <c r="L165" s="1"/>
      <c r="M165" s="1"/>
    </row>
    <row r="166" ht="15.75" customHeight="1">
      <c r="A166" s="1"/>
      <c r="B166" s="1"/>
      <c r="C166" s="1"/>
      <c r="D166" s="1"/>
      <c r="E166" s="1"/>
      <c r="F166" s="1"/>
      <c r="G166" s="1"/>
      <c r="H166" s="1"/>
      <c r="I166" s="1"/>
      <c r="J166" s="1"/>
      <c r="K166" s="1"/>
      <c r="L166" s="1"/>
      <c r="M166" s="1"/>
    </row>
    <row r="167" ht="15.75" customHeight="1">
      <c r="A167" s="1"/>
      <c r="B167" s="1"/>
      <c r="C167" s="1"/>
      <c r="D167" s="1"/>
      <c r="E167" s="1"/>
      <c r="F167" s="1"/>
      <c r="G167" s="1"/>
      <c r="H167" s="1"/>
      <c r="I167" s="1"/>
      <c r="J167" s="1"/>
      <c r="K167" s="1"/>
      <c r="L167" s="1"/>
      <c r="M167" s="1"/>
    </row>
    <row r="168" ht="15.75" customHeight="1">
      <c r="A168" s="1"/>
      <c r="B168" s="1"/>
      <c r="C168" s="1"/>
      <c r="D168" s="1"/>
      <c r="E168" s="1"/>
      <c r="F168" s="1"/>
      <c r="G168" s="1"/>
      <c r="H168" s="1"/>
      <c r="I168" s="1"/>
      <c r="J168" s="1"/>
      <c r="K168" s="1"/>
      <c r="L168" s="1"/>
      <c r="M168" s="1"/>
    </row>
    <row r="169" ht="15.75" customHeight="1">
      <c r="A169" s="1"/>
      <c r="B169" s="1"/>
      <c r="C169" s="1"/>
      <c r="D169" s="1"/>
      <c r="E169" s="1"/>
      <c r="F169" s="1"/>
      <c r="G169" s="1"/>
      <c r="H169" s="1"/>
      <c r="I169" s="1"/>
      <c r="J169" s="1"/>
      <c r="K169" s="1"/>
      <c r="L169" s="1"/>
      <c r="M169" s="1"/>
    </row>
    <row r="170" ht="15.75" customHeight="1">
      <c r="A170" s="1"/>
      <c r="B170" s="1"/>
      <c r="C170" s="1"/>
      <c r="D170" s="1"/>
      <c r="E170" s="1"/>
      <c r="F170" s="1"/>
      <c r="G170" s="1"/>
      <c r="H170" s="1"/>
      <c r="I170" s="1"/>
      <c r="J170" s="1"/>
      <c r="K170" s="1"/>
      <c r="L170" s="1"/>
      <c r="M170" s="1"/>
    </row>
    <row r="171" ht="15.75" customHeight="1">
      <c r="A171" s="1"/>
      <c r="B171" s="1"/>
      <c r="C171" s="1"/>
      <c r="D171" s="1"/>
      <c r="E171" s="1"/>
      <c r="F171" s="1"/>
      <c r="G171" s="1"/>
      <c r="H171" s="1"/>
      <c r="I171" s="1"/>
      <c r="J171" s="1"/>
      <c r="K171" s="1"/>
      <c r="L171" s="1"/>
      <c r="M171" s="1"/>
    </row>
    <row r="172" ht="15.75" customHeight="1">
      <c r="A172" s="1"/>
      <c r="B172" s="1"/>
      <c r="C172" s="1"/>
      <c r="D172" s="1"/>
      <c r="E172" s="1"/>
      <c r="F172" s="1"/>
      <c r="G172" s="1"/>
      <c r="H172" s="1"/>
      <c r="I172" s="1"/>
      <c r="J172" s="1"/>
      <c r="K172" s="1"/>
      <c r="L172" s="1"/>
      <c r="M172" s="1"/>
    </row>
    <row r="173" ht="15.75" customHeight="1">
      <c r="A173" s="1"/>
      <c r="B173" s="1"/>
      <c r="C173" s="1"/>
      <c r="D173" s="1"/>
      <c r="E173" s="1"/>
      <c r="F173" s="1"/>
      <c r="G173" s="1"/>
      <c r="H173" s="1"/>
      <c r="I173" s="1"/>
      <c r="J173" s="1"/>
      <c r="K173" s="1"/>
      <c r="L173" s="1"/>
      <c r="M173" s="1"/>
    </row>
    <row r="174" ht="15.75" customHeight="1">
      <c r="A174" s="1"/>
      <c r="B174" s="1"/>
      <c r="C174" s="1"/>
      <c r="D174" s="1"/>
      <c r="E174" s="1"/>
      <c r="F174" s="1"/>
      <c r="G174" s="1"/>
      <c r="H174" s="1"/>
      <c r="I174" s="1"/>
      <c r="J174" s="1"/>
      <c r="K174" s="1"/>
      <c r="L174" s="1"/>
      <c r="M174" s="1"/>
    </row>
    <row r="175" ht="15.75" customHeight="1">
      <c r="A175" s="1"/>
      <c r="B175" s="1"/>
      <c r="C175" s="1"/>
      <c r="D175" s="1"/>
      <c r="E175" s="1"/>
      <c r="F175" s="1"/>
      <c r="G175" s="1"/>
      <c r="H175" s="1"/>
      <c r="I175" s="1"/>
      <c r="J175" s="1"/>
      <c r="K175" s="1"/>
      <c r="L175" s="1"/>
      <c r="M175" s="1"/>
    </row>
    <row r="176" ht="15.75" customHeight="1">
      <c r="A176" s="1"/>
      <c r="B176" s="1"/>
      <c r="C176" s="1"/>
      <c r="D176" s="1"/>
      <c r="E176" s="1"/>
      <c r="F176" s="1"/>
      <c r="G176" s="1"/>
      <c r="H176" s="1"/>
      <c r="I176" s="1"/>
      <c r="J176" s="1"/>
      <c r="K176" s="1"/>
      <c r="L176" s="1"/>
      <c r="M176" s="1"/>
    </row>
    <row r="177" ht="15.75" customHeight="1">
      <c r="A177" s="1"/>
      <c r="B177" s="1"/>
      <c r="C177" s="1"/>
      <c r="D177" s="1"/>
      <c r="E177" s="1"/>
      <c r="F177" s="1"/>
      <c r="G177" s="1"/>
      <c r="H177" s="1"/>
      <c r="I177" s="1"/>
      <c r="J177" s="1"/>
      <c r="K177" s="1"/>
      <c r="L177" s="1"/>
      <c r="M177" s="1"/>
    </row>
    <row r="178" ht="15.75" customHeight="1">
      <c r="A178" s="1"/>
      <c r="B178" s="1"/>
      <c r="C178" s="1"/>
      <c r="D178" s="1"/>
      <c r="E178" s="1"/>
      <c r="F178" s="1"/>
      <c r="G178" s="1"/>
      <c r="H178" s="1"/>
      <c r="I178" s="1"/>
      <c r="J178" s="1"/>
      <c r="K178" s="1"/>
      <c r="L178" s="1"/>
      <c r="M178" s="1"/>
    </row>
    <row r="179" ht="15.75" customHeight="1">
      <c r="A179" s="1"/>
      <c r="B179" s="1"/>
      <c r="C179" s="1"/>
      <c r="D179" s="1"/>
      <c r="E179" s="1"/>
      <c r="F179" s="1"/>
      <c r="G179" s="1"/>
      <c r="H179" s="1"/>
      <c r="I179" s="1"/>
      <c r="J179" s="1"/>
      <c r="K179" s="1"/>
      <c r="L179" s="1"/>
      <c r="M179" s="1"/>
    </row>
    <row r="180" ht="15.75" customHeight="1">
      <c r="A180" s="1"/>
      <c r="B180" s="1"/>
      <c r="C180" s="1"/>
      <c r="D180" s="1"/>
      <c r="E180" s="1"/>
      <c r="F180" s="1"/>
      <c r="G180" s="1"/>
      <c r="H180" s="1"/>
      <c r="I180" s="1"/>
      <c r="J180" s="1"/>
      <c r="K180" s="1"/>
      <c r="L180" s="1"/>
      <c r="M180" s="1"/>
    </row>
    <row r="181" ht="15.75" customHeight="1">
      <c r="A181" s="1"/>
      <c r="B181" s="1"/>
      <c r="C181" s="1"/>
      <c r="D181" s="1"/>
      <c r="E181" s="1"/>
      <c r="F181" s="1"/>
      <c r="G181" s="1"/>
      <c r="H181" s="1"/>
      <c r="I181" s="1"/>
      <c r="J181" s="1"/>
      <c r="K181" s="1"/>
      <c r="L181" s="1"/>
      <c r="M181" s="1"/>
    </row>
    <row r="182" ht="15.75" customHeight="1">
      <c r="A182" s="1"/>
      <c r="B182" s="1"/>
      <c r="C182" s="1"/>
      <c r="D182" s="1"/>
      <c r="E182" s="1"/>
      <c r="F182" s="1"/>
      <c r="G182" s="1"/>
      <c r="H182" s="1"/>
      <c r="I182" s="1"/>
      <c r="J182" s="1"/>
      <c r="K182" s="1"/>
      <c r="L182" s="1"/>
      <c r="M182" s="1"/>
    </row>
    <row r="183" ht="15.75" customHeight="1">
      <c r="A183" s="1"/>
      <c r="B183" s="1"/>
      <c r="C183" s="1"/>
      <c r="D183" s="1"/>
      <c r="E183" s="1"/>
      <c r="F183" s="1"/>
      <c r="G183" s="1"/>
      <c r="H183" s="1"/>
      <c r="I183" s="1"/>
      <c r="J183" s="1"/>
      <c r="K183" s="1"/>
      <c r="L183" s="1"/>
      <c r="M183" s="1"/>
    </row>
    <row r="184" ht="15.75" customHeight="1">
      <c r="A184" s="1"/>
      <c r="B184" s="1"/>
      <c r="C184" s="1"/>
      <c r="D184" s="1"/>
      <c r="E184" s="1"/>
      <c r="F184" s="1"/>
      <c r="G184" s="1"/>
      <c r="H184" s="1"/>
      <c r="I184" s="1"/>
      <c r="J184" s="1"/>
      <c r="K184" s="1"/>
      <c r="L184" s="1"/>
      <c r="M184" s="1"/>
    </row>
    <row r="185" ht="15.75" customHeight="1">
      <c r="A185" s="1"/>
      <c r="B185" s="1"/>
      <c r="C185" s="1"/>
      <c r="D185" s="1"/>
      <c r="E185" s="1"/>
      <c r="F185" s="1"/>
      <c r="G185" s="1"/>
      <c r="H185" s="1"/>
      <c r="I185" s="1"/>
      <c r="J185" s="1"/>
      <c r="K185" s="1"/>
      <c r="L185" s="1"/>
      <c r="M185" s="1"/>
    </row>
    <row r="186" ht="15.75" customHeight="1">
      <c r="A186" s="1"/>
      <c r="B186" s="1"/>
      <c r="C186" s="1"/>
      <c r="D186" s="1"/>
      <c r="E186" s="1"/>
      <c r="F186" s="1"/>
      <c r="G186" s="1"/>
      <c r="H186" s="1"/>
      <c r="I186" s="1"/>
      <c r="J186" s="1"/>
      <c r="K186" s="1"/>
      <c r="L186" s="1"/>
      <c r="M186" s="1"/>
    </row>
    <row r="187" ht="15.75" customHeight="1">
      <c r="A187" s="1"/>
      <c r="B187" s="1"/>
      <c r="C187" s="1"/>
      <c r="D187" s="1"/>
      <c r="E187" s="1"/>
      <c r="F187" s="1"/>
      <c r="G187" s="1"/>
      <c r="H187" s="1"/>
      <c r="I187" s="1"/>
      <c r="J187" s="1"/>
      <c r="K187" s="1"/>
      <c r="L187" s="1"/>
      <c r="M187" s="1"/>
    </row>
    <row r="188" ht="15.75" customHeight="1">
      <c r="A188" s="1"/>
      <c r="B188" s="1"/>
      <c r="C188" s="1"/>
      <c r="D188" s="1"/>
      <c r="E188" s="1"/>
      <c r="F188" s="1"/>
      <c r="G188" s="1"/>
      <c r="H188" s="1"/>
      <c r="I188" s="1"/>
      <c r="J188" s="1"/>
      <c r="K188" s="1"/>
      <c r="L188" s="1"/>
      <c r="M188" s="1"/>
    </row>
    <row r="189" ht="15.75" customHeight="1">
      <c r="A189" s="1"/>
      <c r="B189" s="1"/>
      <c r="C189" s="1"/>
      <c r="D189" s="1"/>
      <c r="E189" s="1"/>
      <c r="F189" s="1"/>
      <c r="G189" s="1"/>
      <c r="H189" s="1"/>
      <c r="I189" s="1"/>
      <c r="J189" s="1"/>
      <c r="K189" s="1"/>
      <c r="L189" s="1"/>
      <c r="M189" s="1"/>
    </row>
    <row r="190" ht="15.75" customHeight="1">
      <c r="A190" s="1"/>
      <c r="B190" s="1"/>
      <c r="C190" s="1"/>
      <c r="D190" s="1"/>
      <c r="E190" s="1"/>
      <c r="F190" s="1"/>
      <c r="G190" s="1"/>
      <c r="H190" s="1"/>
      <c r="I190" s="1"/>
      <c r="J190" s="1"/>
      <c r="K190" s="1"/>
      <c r="L190" s="1"/>
      <c r="M190" s="1"/>
    </row>
    <row r="191" ht="15.75" customHeight="1">
      <c r="A191" s="1"/>
      <c r="B191" s="1"/>
      <c r="C191" s="1"/>
      <c r="D191" s="1"/>
      <c r="E191" s="1"/>
      <c r="F191" s="1"/>
      <c r="G191" s="1"/>
      <c r="H191" s="1"/>
      <c r="I191" s="1"/>
      <c r="J191" s="1"/>
      <c r="K191" s="1"/>
      <c r="L191" s="1"/>
      <c r="M191" s="1"/>
    </row>
    <row r="192" ht="15.75" customHeight="1">
      <c r="A192" s="1"/>
      <c r="B192" s="1"/>
      <c r="C192" s="1"/>
      <c r="D192" s="1"/>
      <c r="E192" s="1"/>
      <c r="F192" s="1"/>
      <c r="G192" s="1"/>
      <c r="H192" s="1"/>
      <c r="I192" s="1"/>
      <c r="J192" s="1"/>
      <c r="K192" s="1"/>
      <c r="L192" s="1"/>
      <c r="M192" s="1"/>
    </row>
    <row r="193" ht="15.75" customHeight="1">
      <c r="A193" s="1"/>
      <c r="B193" s="1"/>
      <c r="C193" s="1"/>
      <c r="D193" s="1"/>
      <c r="E193" s="1"/>
      <c r="F193" s="1"/>
      <c r="G193" s="1"/>
      <c r="H193" s="1"/>
      <c r="I193" s="1"/>
      <c r="J193" s="1"/>
      <c r="K193" s="1"/>
      <c r="L193" s="1"/>
      <c r="M193" s="1"/>
    </row>
    <row r="194" ht="15.75" customHeight="1">
      <c r="A194" s="1"/>
      <c r="B194" s="1"/>
      <c r="C194" s="1"/>
      <c r="D194" s="1"/>
      <c r="E194" s="1"/>
      <c r="F194" s="1"/>
      <c r="G194" s="1"/>
      <c r="H194" s="1"/>
      <c r="I194" s="1"/>
      <c r="J194" s="1"/>
      <c r="K194" s="1"/>
      <c r="L194" s="1"/>
      <c r="M194" s="1"/>
    </row>
    <row r="195" ht="15.75" customHeight="1">
      <c r="A195" s="1"/>
      <c r="B195" s="1"/>
      <c r="C195" s="1"/>
      <c r="D195" s="1"/>
      <c r="E195" s="1"/>
      <c r="F195" s="1"/>
      <c r="G195" s="1"/>
      <c r="H195" s="1"/>
      <c r="I195" s="1"/>
      <c r="J195" s="1"/>
      <c r="K195" s="1"/>
      <c r="L195" s="1"/>
      <c r="M195" s="1"/>
    </row>
    <row r="196" ht="15.75" customHeight="1">
      <c r="A196" s="1"/>
      <c r="B196" s="1"/>
      <c r="C196" s="1"/>
      <c r="D196" s="1"/>
      <c r="E196" s="1"/>
      <c r="F196" s="1"/>
      <c r="G196" s="1"/>
      <c r="H196" s="1"/>
      <c r="I196" s="1"/>
      <c r="J196" s="1"/>
      <c r="K196" s="1"/>
      <c r="L196" s="1"/>
      <c r="M196" s="1"/>
    </row>
    <row r="197" ht="15.75" customHeight="1">
      <c r="A197" s="1"/>
      <c r="B197" s="1"/>
      <c r="C197" s="1"/>
      <c r="D197" s="1"/>
      <c r="E197" s="1"/>
      <c r="F197" s="1"/>
      <c r="G197" s="1"/>
      <c r="H197" s="1"/>
      <c r="I197" s="1"/>
      <c r="J197" s="1"/>
      <c r="K197" s="1"/>
      <c r="L197" s="1"/>
      <c r="M197" s="1"/>
    </row>
    <row r="198" ht="15.75" customHeight="1">
      <c r="A198" s="1"/>
      <c r="B198" s="1"/>
      <c r="C198" s="1"/>
      <c r="D198" s="1"/>
      <c r="E198" s="1"/>
      <c r="F198" s="1"/>
      <c r="G198" s="1"/>
      <c r="H198" s="1"/>
      <c r="I198" s="1"/>
      <c r="J198" s="1"/>
      <c r="K198" s="1"/>
      <c r="L198" s="1"/>
      <c r="M198" s="1"/>
    </row>
    <row r="199" ht="15.75" customHeight="1">
      <c r="A199" s="1"/>
      <c r="B199" s="1"/>
      <c r="C199" s="1"/>
      <c r="D199" s="1"/>
      <c r="E199" s="1"/>
      <c r="F199" s="1"/>
      <c r="G199" s="1"/>
      <c r="H199" s="1"/>
      <c r="I199" s="1"/>
      <c r="J199" s="1"/>
      <c r="K199" s="1"/>
      <c r="L199" s="1"/>
      <c r="M199" s="1"/>
    </row>
    <row r="200" ht="15.75" customHeight="1">
      <c r="A200" s="1"/>
      <c r="B200" s="1"/>
      <c r="C200" s="1"/>
      <c r="D200" s="1"/>
      <c r="E200" s="1"/>
      <c r="F200" s="1"/>
      <c r="G200" s="1"/>
      <c r="H200" s="1"/>
      <c r="I200" s="1"/>
      <c r="J200" s="1"/>
      <c r="K200" s="1"/>
      <c r="L200" s="1"/>
      <c r="M200" s="1"/>
    </row>
    <row r="201" ht="15.75" customHeight="1">
      <c r="A201" s="1"/>
      <c r="B201" s="1"/>
      <c r="C201" s="1"/>
      <c r="D201" s="1"/>
      <c r="E201" s="1"/>
      <c r="F201" s="1"/>
      <c r="G201" s="1"/>
      <c r="H201" s="1"/>
      <c r="I201" s="1"/>
      <c r="J201" s="1"/>
      <c r="K201" s="1"/>
      <c r="L201" s="1"/>
      <c r="M201" s="1"/>
    </row>
    <row r="202" ht="15.75" customHeight="1">
      <c r="A202" s="1"/>
      <c r="B202" s="1"/>
      <c r="C202" s="1"/>
      <c r="D202" s="1"/>
      <c r="E202" s="1"/>
      <c r="F202" s="1"/>
      <c r="G202" s="1"/>
      <c r="H202" s="1"/>
      <c r="I202" s="1"/>
      <c r="J202" s="1"/>
      <c r="K202" s="1"/>
      <c r="L202" s="1"/>
      <c r="M202" s="1"/>
    </row>
    <row r="203" ht="15.75" customHeight="1">
      <c r="A203" s="1"/>
      <c r="B203" s="1"/>
      <c r="C203" s="1"/>
      <c r="D203" s="1"/>
      <c r="E203" s="1"/>
      <c r="F203" s="1"/>
      <c r="G203" s="1"/>
      <c r="H203" s="1"/>
      <c r="I203" s="1"/>
      <c r="J203" s="1"/>
      <c r="K203" s="1"/>
      <c r="L203" s="1"/>
      <c r="M203" s="1"/>
    </row>
    <row r="204" ht="15.75" customHeight="1">
      <c r="A204" s="1"/>
      <c r="B204" s="1"/>
      <c r="C204" s="1"/>
      <c r="D204" s="1"/>
      <c r="E204" s="1"/>
      <c r="F204" s="1"/>
      <c r="G204" s="1"/>
      <c r="H204" s="1"/>
      <c r="I204" s="1"/>
      <c r="J204" s="1"/>
      <c r="K204" s="1"/>
      <c r="L204" s="1"/>
      <c r="M204" s="1"/>
    </row>
    <row r="205" ht="15.75" customHeight="1">
      <c r="A205" s="1"/>
      <c r="B205" s="1"/>
      <c r="C205" s="1"/>
      <c r="D205" s="1"/>
      <c r="E205" s="1"/>
      <c r="F205" s="1"/>
      <c r="G205" s="1"/>
      <c r="H205" s="1"/>
      <c r="I205" s="1"/>
      <c r="J205" s="1"/>
      <c r="K205" s="1"/>
      <c r="L205" s="1"/>
      <c r="M205" s="1"/>
    </row>
    <row r="206" ht="15.75" customHeight="1">
      <c r="A206" s="1"/>
      <c r="B206" s="1"/>
      <c r="C206" s="1"/>
      <c r="D206" s="1"/>
      <c r="E206" s="1"/>
      <c r="F206" s="1"/>
      <c r="G206" s="1"/>
      <c r="H206" s="1"/>
      <c r="I206" s="1"/>
      <c r="J206" s="1"/>
      <c r="K206" s="1"/>
      <c r="L206" s="1"/>
      <c r="M206" s="1"/>
    </row>
    <row r="207" ht="15.75" customHeight="1">
      <c r="A207" s="1"/>
      <c r="B207" s="1"/>
      <c r="C207" s="1"/>
      <c r="D207" s="1"/>
      <c r="E207" s="1"/>
      <c r="F207" s="1"/>
      <c r="G207" s="1"/>
      <c r="H207" s="1"/>
      <c r="I207" s="1"/>
      <c r="J207" s="1"/>
      <c r="K207" s="1"/>
      <c r="L207" s="1"/>
      <c r="M207" s="1"/>
    </row>
    <row r="208" ht="15.75" customHeight="1">
      <c r="A208" s="1"/>
      <c r="B208" s="1"/>
      <c r="C208" s="1"/>
      <c r="D208" s="1"/>
      <c r="E208" s="1"/>
      <c r="F208" s="1"/>
      <c r="G208" s="1"/>
      <c r="H208" s="1"/>
      <c r="I208" s="1"/>
      <c r="J208" s="1"/>
      <c r="K208" s="1"/>
      <c r="L208" s="1"/>
      <c r="M208" s="1"/>
    </row>
    <row r="209" ht="15.75" customHeight="1">
      <c r="A209" s="1"/>
      <c r="B209" s="1"/>
      <c r="C209" s="1"/>
      <c r="D209" s="1"/>
      <c r="E209" s="1"/>
      <c r="F209" s="1"/>
      <c r="G209" s="1"/>
      <c r="H209" s="1"/>
      <c r="I209" s="1"/>
      <c r="J209" s="1"/>
      <c r="K209" s="1"/>
      <c r="L209" s="1"/>
      <c r="M209" s="1"/>
    </row>
    <row r="210" ht="15.75" customHeight="1">
      <c r="A210" s="1"/>
      <c r="B210" s="1"/>
      <c r="C210" s="1"/>
      <c r="D210" s="1"/>
      <c r="E210" s="1"/>
      <c r="F210" s="1"/>
      <c r="G210" s="1"/>
      <c r="H210" s="1"/>
      <c r="I210" s="1"/>
      <c r="J210" s="1"/>
      <c r="K210" s="1"/>
      <c r="L210" s="1"/>
      <c r="M210" s="1"/>
    </row>
    <row r="211" ht="15.75" customHeight="1">
      <c r="A211" s="1"/>
      <c r="B211" s="1"/>
      <c r="C211" s="1"/>
      <c r="D211" s="1"/>
      <c r="E211" s="1"/>
      <c r="F211" s="1"/>
      <c r="G211" s="1"/>
      <c r="H211" s="1"/>
      <c r="I211" s="1"/>
      <c r="J211" s="1"/>
      <c r="K211" s="1"/>
      <c r="L211" s="1"/>
      <c r="M211" s="1"/>
    </row>
    <row r="212" ht="15.75" customHeight="1">
      <c r="A212" s="1"/>
      <c r="B212" s="1"/>
      <c r="C212" s="1"/>
      <c r="D212" s="1"/>
      <c r="E212" s="1"/>
      <c r="F212" s="1"/>
      <c r="G212" s="1"/>
      <c r="H212" s="1"/>
      <c r="I212" s="1"/>
      <c r="J212" s="1"/>
      <c r="K212" s="1"/>
      <c r="L212" s="1"/>
      <c r="M212" s="1"/>
    </row>
    <row r="213" ht="15.75" customHeight="1">
      <c r="A213" s="1"/>
      <c r="B213" s="1"/>
      <c r="C213" s="1"/>
      <c r="D213" s="1"/>
      <c r="E213" s="1"/>
      <c r="F213" s="1"/>
      <c r="G213" s="1"/>
      <c r="H213" s="1"/>
      <c r="I213" s="1"/>
      <c r="J213" s="1"/>
      <c r="K213" s="1"/>
      <c r="L213" s="1"/>
      <c r="M213" s="1"/>
    </row>
    <row r="214" ht="15.75" customHeight="1">
      <c r="A214" s="1"/>
      <c r="B214" s="1"/>
      <c r="C214" s="1"/>
      <c r="D214" s="1"/>
      <c r="E214" s="1"/>
      <c r="F214" s="1"/>
      <c r="G214" s="1"/>
      <c r="H214" s="1"/>
      <c r="I214" s="1"/>
      <c r="J214" s="1"/>
      <c r="K214" s="1"/>
      <c r="L214" s="1"/>
      <c r="M214" s="1"/>
    </row>
    <row r="215" ht="15.75" customHeight="1">
      <c r="A215" s="1"/>
      <c r="B215" s="1"/>
      <c r="C215" s="1"/>
      <c r="D215" s="1"/>
      <c r="E215" s="1"/>
      <c r="F215" s="1"/>
      <c r="G215" s="1"/>
      <c r="H215" s="1"/>
      <c r="I215" s="1"/>
      <c r="J215" s="1"/>
      <c r="K215" s="1"/>
      <c r="L215" s="1"/>
      <c r="M215" s="1"/>
    </row>
    <row r="216" ht="15.75" customHeight="1">
      <c r="A216" s="1"/>
      <c r="B216" s="1"/>
      <c r="C216" s="1"/>
      <c r="D216" s="1"/>
      <c r="E216" s="1"/>
      <c r="F216" s="1"/>
      <c r="G216" s="1"/>
      <c r="H216" s="1"/>
      <c r="I216" s="1"/>
      <c r="J216" s="1"/>
      <c r="K216" s="1"/>
      <c r="L216" s="1"/>
      <c r="M216" s="1"/>
    </row>
    <row r="217" ht="15.75" customHeight="1">
      <c r="A217" s="1"/>
      <c r="B217" s="1"/>
      <c r="C217" s="1"/>
      <c r="D217" s="1"/>
      <c r="E217" s="1"/>
      <c r="F217" s="1"/>
      <c r="G217" s="1"/>
      <c r="H217" s="1"/>
      <c r="I217" s="1"/>
      <c r="J217" s="1"/>
      <c r="K217" s="1"/>
      <c r="L217" s="1"/>
      <c r="M217" s="1"/>
    </row>
    <row r="218" ht="15.75" customHeight="1">
      <c r="A218" s="1"/>
      <c r="B218" s="1"/>
      <c r="C218" s="1"/>
      <c r="D218" s="1"/>
      <c r="E218" s="1"/>
      <c r="F218" s="1"/>
      <c r="G218" s="1"/>
      <c r="H218" s="1"/>
      <c r="I218" s="1"/>
      <c r="J218" s="1"/>
      <c r="K218" s="1"/>
      <c r="L218" s="1"/>
      <c r="M218" s="1"/>
    </row>
    <row r="219" ht="15.75" customHeight="1">
      <c r="A219" s="1"/>
      <c r="B219" s="1"/>
      <c r="C219" s="1"/>
      <c r="D219" s="1"/>
      <c r="E219" s="1"/>
      <c r="F219" s="1"/>
      <c r="G219" s="1"/>
      <c r="H219" s="1"/>
      <c r="I219" s="1"/>
      <c r="J219" s="1"/>
      <c r="K219" s="1"/>
      <c r="L219" s="1"/>
      <c r="M219" s="1"/>
    </row>
    <row r="220" ht="15.75" customHeight="1">
      <c r="A220" s="1"/>
      <c r="B220" s="1"/>
      <c r="C220" s="1"/>
      <c r="D220" s="1"/>
      <c r="E220" s="1"/>
      <c r="F220" s="1"/>
      <c r="G220" s="1"/>
      <c r="H220" s="1"/>
      <c r="I220" s="1"/>
      <c r="J220" s="1"/>
      <c r="K220" s="1"/>
      <c r="L220" s="1"/>
      <c r="M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1:M1"/>
    <mergeCell ref="B3:J3"/>
    <mergeCell ref="L3:M3"/>
    <mergeCell ref="B11:J11"/>
    <mergeCell ref="B13:J13"/>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pageSetUpPr/>
  </sheetPr>
  <sheetViews>
    <sheetView showGridLines="0" workbookViewId="0"/>
  </sheetViews>
  <sheetFormatPr customHeight="1" defaultColWidth="14.43" defaultRowHeight="15.0"/>
  <cols>
    <col customWidth="1" min="1" max="1" width="3.0"/>
    <col customWidth="1" min="2" max="2" width="39.0"/>
    <col customWidth="1" min="3" max="3" width="25.71"/>
    <col customWidth="1" min="4" max="4" width="27.57"/>
    <col customWidth="1" min="5" max="8" width="10.0"/>
    <col customWidth="1" hidden="1" min="9" max="13" width="10.0"/>
    <col customWidth="1" hidden="1" min="14" max="24" width="14.43"/>
  </cols>
  <sheetData>
    <row r="1" ht="19.5" customHeight="1">
      <c r="A1" s="1"/>
      <c r="B1" s="135"/>
      <c r="C1" s="135"/>
      <c r="D1" s="1"/>
      <c r="E1" s="1"/>
      <c r="F1" s="1"/>
      <c r="G1" s="1"/>
      <c r="H1" s="1"/>
      <c r="I1" s="1"/>
      <c r="J1" s="1"/>
      <c r="K1" s="1"/>
      <c r="L1" s="1"/>
      <c r="M1" s="1"/>
      <c r="N1" s="1"/>
      <c r="O1" s="1"/>
      <c r="P1" s="1"/>
      <c r="Q1" s="1"/>
      <c r="R1" s="1"/>
      <c r="S1" s="1"/>
      <c r="T1" s="1"/>
      <c r="U1" s="1"/>
      <c r="V1" s="1"/>
      <c r="W1" s="1"/>
      <c r="X1" s="1"/>
      <c r="Y1" s="1"/>
      <c r="Z1" s="1"/>
    </row>
    <row r="2" ht="19.5" customHeight="1">
      <c r="A2" s="1"/>
      <c r="B2" s="3" t="s">
        <v>171</v>
      </c>
      <c r="D2" s="1"/>
      <c r="E2" s="1"/>
      <c r="F2" s="1"/>
      <c r="G2" s="1"/>
      <c r="H2" s="1"/>
      <c r="I2" s="1"/>
      <c r="J2" s="1"/>
      <c r="K2" s="1"/>
      <c r="L2" s="1"/>
      <c r="M2" s="1"/>
      <c r="N2" s="1"/>
      <c r="O2" s="1"/>
      <c r="P2" s="1"/>
      <c r="Q2" s="1"/>
      <c r="R2" s="1"/>
      <c r="S2" s="1"/>
      <c r="T2" s="1"/>
      <c r="U2" s="1"/>
      <c r="V2" s="1"/>
      <c r="W2" s="1"/>
      <c r="X2" s="1"/>
      <c r="Y2" s="1"/>
      <c r="Z2" s="1"/>
    </row>
    <row r="3" ht="15.0" customHeight="1">
      <c r="A3" s="1"/>
      <c r="B3" s="1"/>
      <c r="C3" s="1"/>
      <c r="D3" s="1"/>
      <c r="E3" s="1"/>
      <c r="F3" s="1"/>
      <c r="G3" s="1"/>
      <c r="H3" s="1"/>
      <c r="I3" s="1"/>
      <c r="J3" s="1"/>
      <c r="K3" s="1"/>
      <c r="L3" s="1"/>
      <c r="M3" s="1"/>
      <c r="N3" s="1"/>
      <c r="O3" s="1"/>
      <c r="P3" s="1"/>
      <c r="Q3" s="1"/>
      <c r="R3" s="1"/>
      <c r="S3" s="1"/>
      <c r="T3" s="1"/>
      <c r="U3" s="1"/>
      <c r="V3" s="1"/>
      <c r="W3" s="1"/>
      <c r="X3" s="1"/>
      <c r="Y3" s="1"/>
      <c r="Z3" s="1"/>
    </row>
    <row r="4" ht="15.0" customHeight="1">
      <c r="A4" s="1"/>
      <c r="B4" s="5" t="s">
        <v>172</v>
      </c>
      <c r="D4" s="1"/>
      <c r="E4" s="1"/>
      <c r="F4" s="1"/>
      <c r="G4" s="1"/>
      <c r="H4" s="1"/>
      <c r="I4" s="1"/>
      <c r="J4" s="1"/>
      <c r="K4" s="1"/>
      <c r="L4" s="1"/>
      <c r="M4" s="1"/>
      <c r="N4" s="1"/>
      <c r="O4" s="1"/>
      <c r="P4" s="1"/>
      <c r="Q4" s="1"/>
      <c r="R4" s="1"/>
      <c r="S4" s="1"/>
      <c r="T4" s="1"/>
      <c r="U4" s="1"/>
      <c r="V4" s="1"/>
      <c r="W4" s="1"/>
      <c r="X4" s="1"/>
      <c r="Y4" s="1"/>
      <c r="Z4" s="1"/>
    </row>
    <row r="5" ht="15.0" customHeight="1">
      <c r="A5" s="1"/>
      <c r="B5" s="13" t="s">
        <v>173</v>
      </c>
      <c r="C5" s="29"/>
      <c r="D5" s="1"/>
      <c r="E5" s="1"/>
      <c r="F5" s="1"/>
      <c r="G5" s="1"/>
      <c r="H5" s="1"/>
      <c r="I5" s="1"/>
      <c r="J5" s="1"/>
      <c r="K5" s="1"/>
      <c r="L5" s="1"/>
      <c r="M5" s="1"/>
      <c r="N5" s="1"/>
      <c r="O5" s="1"/>
      <c r="P5" s="1"/>
      <c r="Q5" s="1"/>
      <c r="R5" s="1"/>
      <c r="S5" s="1"/>
      <c r="T5" s="1"/>
      <c r="U5" s="1"/>
      <c r="V5" s="1"/>
      <c r="W5" s="1"/>
      <c r="X5" s="1"/>
      <c r="Y5" s="1"/>
      <c r="Z5" s="1"/>
    </row>
    <row r="6" ht="15.0" customHeight="1">
      <c r="A6" s="1"/>
      <c r="B6" s="13" t="s">
        <v>174</v>
      </c>
      <c r="C6" s="116">
        <f t="array" ref="C6">IFERROR(INDEX('Debt Payoff'!$C$5:$C$9,MATCH($C$5,'Debt Payoff'!$B$5:$B$9,0)),0)</f>
        <v>0</v>
      </c>
      <c r="D6" s="1"/>
      <c r="E6" s="1"/>
      <c r="F6" s="1"/>
      <c r="G6" s="1"/>
      <c r="H6" s="1"/>
      <c r="I6" s="1"/>
      <c r="J6" s="1"/>
      <c r="K6" s="1"/>
      <c r="L6" s="1"/>
      <c r="M6" s="1"/>
      <c r="N6" s="1"/>
      <c r="O6" s="1"/>
      <c r="P6" s="1"/>
      <c r="Q6" s="1"/>
      <c r="R6" s="1"/>
      <c r="S6" s="1"/>
      <c r="T6" s="1"/>
      <c r="U6" s="1"/>
      <c r="V6" s="1"/>
      <c r="W6" s="1"/>
      <c r="X6" s="1"/>
      <c r="Y6" s="1"/>
      <c r="Z6" s="1"/>
    </row>
    <row r="7" ht="15.0" customHeight="1">
      <c r="A7" s="1"/>
      <c r="B7" s="13" t="s">
        <v>175</v>
      </c>
      <c r="C7" s="117">
        <f t="array" ref="C7">IFERROR(INDEX('Debt Payoff'!$D$5:$D$9,MATCH($C$5,'Debt Payoff'!$B$5:$B$9,0)),0)</f>
        <v>0</v>
      </c>
      <c r="D7" s="1"/>
      <c r="E7" s="1"/>
      <c r="F7" s="1"/>
      <c r="G7" s="1"/>
      <c r="H7" s="1"/>
      <c r="I7" s="1"/>
      <c r="J7" s="1"/>
      <c r="K7" s="1"/>
      <c r="L7" s="1"/>
      <c r="M7" s="1"/>
      <c r="N7" s="1"/>
      <c r="O7" s="1"/>
      <c r="P7" s="1"/>
      <c r="Q7" s="1"/>
      <c r="R7" s="1"/>
      <c r="S7" s="1"/>
      <c r="T7" s="1"/>
      <c r="U7" s="1"/>
      <c r="V7" s="1"/>
      <c r="W7" s="1"/>
      <c r="X7" s="1"/>
      <c r="Y7" s="1"/>
      <c r="Z7" s="1"/>
    </row>
    <row r="8" ht="15.0" customHeight="1">
      <c r="A8" s="1"/>
      <c r="B8" s="13" t="s">
        <v>176</v>
      </c>
      <c r="C8" s="116">
        <f t="array" ref="C8">IFERROR(INDEX('Debt Payoff'!$E$5:$E$9,MATCH($C$5,'Debt Payoff'!$B$5:$B$9,0)),0)</f>
        <v>0</v>
      </c>
      <c r="D8" s="1"/>
      <c r="E8" s="1"/>
      <c r="F8" s="1"/>
      <c r="G8" s="1"/>
      <c r="H8" s="1"/>
      <c r="I8" s="1"/>
      <c r="J8" s="1"/>
      <c r="K8" s="1"/>
      <c r="L8" s="1"/>
      <c r="M8" s="1"/>
      <c r="N8" s="1"/>
      <c r="O8" s="1"/>
      <c r="P8" s="1"/>
      <c r="Q8" s="1"/>
      <c r="R8" s="1"/>
      <c r="S8" s="1"/>
      <c r="T8" s="1"/>
      <c r="U8" s="1"/>
      <c r="V8" s="1"/>
      <c r="W8" s="1"/>
      <c r="X8" s="1"/>
      <c r="Y8" s="1"/>
      <c r="Z8" s="1"/>
    </row>
    <row r="9" ht="15.0" customHeight="1">
      <c r="A9" s="1"/>
      <c r="B9" s="13" t="s">
        <v>177</v>
      </c>
      <c r="C9" s="77"/>
      <c r="D9" s="1"/>
      <c r="E9" s="1"/>
      <c r="F9" s="1"/>
      <c r="G9" s="1"/>
      <c r="H9" s="1"/>
      <c r="I9" s="1"/>
      <c r="J9" s="1"/>
      <c r="K9" s="1"/>
      <c r="L9" s="1"/>
      <c r="M9" s="1"/>
      <c r="N9" s="1"/>
      <c r="O9" s="1"/>
      <c r="P9" s="1"/>
      <c r="Q9" s="1"/>
      <c r="R9" s="1"/>
      <c r="S9" s="1"/>
      <c r="T9" s="1"/>
      <c r="U9" s="1"/>
      <c r="V9" s="1"/>
      <c r="W9" s="1"/>
      <c r="X9" s="1"/>
      <c r="Y9" s="1"/>
      <c r="Z9" s="1"/>
    </row>
    <row r="10" ht="15.0"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5.0" customHeight="1">
      <c r="A11" s="1"/>
      <c r="B11" s="5" t="s">
        <v>178</v>
      </c>
      <c r="D11" s="1"/>
      <c r="E11" s="1"/>
      <c r="F11" s="1"/>
      <c r="G11" s="1"/>
      <c r="H11" s="1"/>
      <c r="I11" s="1"/>
      <c r="J11" s="1"/>
      <c r="K11" s="1"/>
      <c r="L11" s="1"/>
      <c r="M11" s="1"/>
      <c r="N11" s="1"/>
      <c r="O11" s="1"/>
      <c r="P11" s="1"/>
      <c r="Q11" s="1"/>
      <c r="R11" s="1"/>
      <c r="S11" s="1"/>
      <c r="T11" s="1"/>
      <c r="U11" s="1"/>
      <c r="V11" s="1"/>
      <c r="W11" s="1"/>
      <c r="X11" s="1"/>
      <c r="Y11" s="1"/>
      <c r="Z11" s="1"/>
    </row>
    <row r="12" ht="15.0" customHeight="1">
      <c r="A12" s="1"/>
      <c r="B12" s="13" t="s">
        <v>179</v>
      </c>
      <c r="C12" s="132" t="str">
        <f>IF(OR($C$6&lt;=0,$C$8&lt;=0),"-",IF($C$7=0,ROUNDUP($C$6/$C$8,0),IF($C$8&lt;=$C$6*($C$7/12),"Increase payment",ROUNDUP(-LN(1-($C$6*($C$7/12))/$C$8)/LN(1+($C$7/12)),0))))</f>
        <v>-</v>
      </c>
      <c r="D12" s="1"/>
      <c r="E12" s="1"/>
      <c r="F12" s="1"/>
      <c r="G12" s="1"/>
      <c r="H12" s="1"/>
      <c r="I12" s="1"/>
      <c r="J12" s="1"/>
      <c r="K12" s="1"/>
      <c r="L12" s="1"/>
      <c r="M12" s="1"/>
      <c r="N12" s="1"/>
      <c r="O12" s="1"/>
      <c r="P12" s="1"/>
      <c r="Q12" s="1"/>
      <c r="R12" s="1"/>
      <c r="S12" s="1"/>
      <c r="T12" s="1"/>
      <c r="U12" s="1"/>
      <c r="V12" s="1"/>
      <c r="W12" s="1"/>
      <c r="X12" s="1"/>
      <c r="Y12" s="1"/>
      <c r="Z12" s="1"/>
    </row>
    <row r="13" ht="15.0" customHeight="1">
      <c r="A13" s="1"/>
      <c r="B13" s="13" t="s">
        <v>180</v>
      </c>
      <c r="C13" s="132" t="str">
        <f>IF(OR($C$6&lt;=0,($C$8+$C$9)&lt;=0),"-",IF($C$7=0,ROUNDUP($C$6/($C$8+$C$9),0),IF(($C$8+$C$9)&lt;=$C$6*($C$7/12),"Increase payment",ROUNDUP(-LN(1-($C$6*($C$7/12))/($C$8+$C$9))/LN(1+($C$7/12)),0))))</f>
        <v>-</v>
      </c>
      <c r="D13" s="1"/>
      <c r="E13" s="1"/>
      <c r="F13" s="1"/>
      <c r="G13" s="1"/>
      <c r="H13" s="1"/>
      <c r="I13" s="1"/>
      <c r="J13" s="1"/>
      <c r="K13" s="1"/>
      <c r="L13" s="1"/>
      <c r="M13" s="1"/>
      <c r="N13" s="1"/>
      <c r="O13" s="1"/>
      <c r="P13" s="1"/>
      <c r="Q13" s="1"/>
      <c r="R13" s="1"/>
      <c r="S13" s="1"/>
      <c r="T13" s="1"/>
      <c r="U13" s="1"/>
      <c r="V13" s="1"/>
      <c r="W13" s="1"/>
      <c r="X13" s="1"/>
      <c r="Y13" s="1"/>
      <c r="Z13" s="1"/>
    </row>
    <row r="14" ht="15.0" customHeight="1">
      <c r="A14" s="1"/>
      <c r="B14" s="104" t="s">
        <v>181</v>
      </c>
      <c r="C14" s="136" t="str">
        <f>IF(AND(ISNUMBER(C12),ISNUMBER(C13)),C12-C13,"-")</f>
        <v>-</v>
      </c>
      <c r="D14" s="1"/>
      <c r="E14" s="1"/>
      <c r="F14" s="1"/>
      <c r="G14" s="1"/>
      <c r="H14" s="1"/>
      <c r="I14" s="1"/>
      <c r="J14" s="1"/>
      <c r="K14" s="1"/>
      <c r="L14" s="1"/>
      <c r="M14" s="1"/>
      <c r="N14" s="1"/>
      <c r="O14" s="1"/>
      <c r="P14" s="1"/>
      <c r="Q14" s="1"/>
      <c r="R14" s="1"/>
      <c r="S14" s="1"/>
      <c r="T14" s="1"/>
      <c r="U14" s="1"/>
      <c r="V14" s="1"/>
      <c r="W14" s="1"/>
      <c r="X14" s="1"/>
      <c r="Y14" s="1"/>
      <c r="Z14" s="1"/>
    </row>
    <row r="15" ht="15.0" customHeight="1">
      <c r="A15" s="1"/>
      <c r="B15" s="13" t="s">
        <v>182</v>
      </c>
      <c r="C15" s="116" t="str">
        <f>IF(ISNUMBER(C12),ROUND((C12-1)*C8+IF(C7=0,C6-C8*(C12-1),(C6*(1+C7/12)^(C12-1)-C8*((1+C7/12)^(C12-1)-1)/(C7/12))*(1+C7/12))-C6,2),"-")</f>
        <v>-</v>
      </c>
      <c r="D15" s="1"/>
      <c r="E15" s="1"/>
      <c r="F15" s="1"/>
      <c r="G15" s="1"/>
      <c r="H15" s="1"/>
      <c r="I15" s="1"/>
      <c r="J15" s="1"/>
      <c r="K15" s="1"/>
      <c r="L15" s="1"/>
      <c r="M15" s="1"/>
      <c r="N15" s="1"/>
      <c r="O15" s="1"/>
      <c r="P15" s="1"/>
      <c r="Q15" s="1"/>
      <c r="R15" s="1"/>
      <c r="S15" s="1"/>
      <c r="T15" s="1"/>
      <c r="U15" s="1"/>
      <c r="V15" s="1"/>
      <c r="W15" s="1"/>
      <c r="X15" s="1"/>
      <c r="Y15" s="1"/>
      <c r="Z15" s="1"/>
    </row>
    <row r="16" ht="15.0" customHeight="1">
      <c r="A16" s="1"/>
      <c r="B16" s="13" t="s">
        <v>183</v>
      </c>
      <c r="C16" s="116" t="str">
        <f>IF(ISNUMBER(C13),ROUND((C13-1)*(C8+C9)+IF(C7=0,C6-(C8+C9)*(C13-1),(C6*(1+C7/12)^(C13-1)-(C8+C9)*((1+C7/12)^(C13-1)-1)/(C7/12))*(1+C7/12))-C6,2),"-")</f>
        <v>-</v>
      </c>
      <c r="D16" s="1"/>
      <c r="E16" s="1"/>
      <c r="F16" s="1"/>
      <c r="G16" s="1"/>
      <c r="H16" s="1"/>
      <c r="I16" s="1"/>
      <c r="J16" s="1"/>
      <c r="K16" s="1"/>
      <c r="L16" s="1"/>
      <c r="M16" s="1"/>
      <c r="N16" s="1"/>
      <c r="O16" s="1"/>
      <c r="P16" s="1"/>
      <c r="Q16" s="1"/>
      <c r="R16" s="1"/>
      <c r="S16" s="1"/>
      <c r="T16" s="1"/>
      <c r="U16" s="1"/>
      <c r="V16" s="1"/>
      <c r="W16" s="1"/>
      <c r="X16" s="1"/>
      <c r="Y16" s="1"/>
      <c r="Z16" s="1"/>
    </row>
    <row r="17" ht="19.5" customHeight="1">
      <c r="A17" s="1"/>
      <c r="B17" s="137" t="s">
        <v>186</v>
      </c>
      <c r="C17" s="138" t="str">
        <f>IF(AND(ISNUMBER(C15),ISNUMBER(C16)),C15-C16,"-")</f>
        <v>-</v>
      </c>
      <c r="D17" s="1"/>
      <c r="E17" s="1"/>
      <c r="F17" s="1"/>
      <c r="G17" s="1"/>
      <c r="H17" s="1"/>
      <c r="I17" s="1"/>
      <c r="J17" s="1"/>
      <c r="K17" s="1"/>
      <c r="L17" s="1"/>
      <c r="M17" s="1"/>
      <c r="N17" s="1"/>
      <c r="O17" s="1"/>
      <c r="P17" s="1"/>
      <c r="Q17" s="1"/>
      <c r="R17" s="1"/>
      <c r="S17" s="1"/>
      <c r="T17" s="1"/>
      <c r="U17" s="1"/>
      <c r="V17" s="1"/>
      <c r="W17" s="1"/>
      <c r="X17" s="1"/>
      <c r="Y17" s="1"/>
      <c r="Z17" s="1"/>
    </row>
    <row r="18" ht="15.0" customHeight="1">
      <c r="A18" s="1"/>
      <c r="B18" s="13" t="s">
        <v>192</v>
      </c>
      <c r="C18" s="132" t="str">
        <f t="shared" ref="C18:C19" si="1">IF(ISNUMBER(C12),TEXT(EDATE(TODAY(),C12),"mmm yyyy"),"-")</f>
        <v>-</v>
      </c>
      <c r="D18" s="1"/>
      <c r="E18" s="1"/>
      <c r="F18" s="1"/>
      <c r="G18" s="1"/>
      <c r="H18" s="1"/>
      <c r="I18" s="1"/>
      <c r="J18" s="1"/>
      <c r="K18" s="1"/>
      <c r="L18" s="1"/>
      <c r="M18" s="1"/>
      <c r="N18" s="1"/>
      <c r="O18" s="1"/>
      <c r="P18" s="1"/>
      <c r="Q18" s="1"/>
      <c r="R18" s="1"/>
      <c r="S18" s="1"/>
      <c r="T18" s="1"/>
      <c r="U18" s="1"/>
      <c r="V18" s="1"/>
      <c r="W18" s="1"/>
      <c r="X18" s="1"/>
      <c r="Y18" s="1"/>
      <c r="Z18" s="1"/>
    </row>
    <row r="19" ht="15.0" customHeight="1">
      <c r="A19" s="1"/>
      <c r="B19" s="13" t="s">
        <v>195</v>
      </c>
      <c r="C19" s="132" t="str">
        <f t="shared" si="1"/>
        <v>-</v>
      </c>
      <c r="D19" s="1"/>
      <c r="E19" s="1"/>
      <c r="F19" s="1"/>
      <c r="G19" s="1"/>
      <c r="H19" s="1"/>
      <c r="I19" s="1"/>
      <c r="J19" s="1"/>
      <c r="K19" s="1"/>
      <c r="L19" s="1"/>
      <c r="M19" s="1"/>
      <c r="N19" s="1"/>
      <c r="O19" s="1"/>
      <c r="P19" s="1"/>
      <c r="Q19" s="1"/>
      <c r="R19" s="1"/>
      <c r="S19" s="1"/>
      <c r="T19" s="1"/>
      <c r="U19" s="1"/>
      <c r="V19" s="1"/>
      <c r="W19" s="1"/>
      <c r="X19" s="1"/>
      <c r="Y19" s="1"/>
      <c r="Z19" s="1"/>
    </row>
    <row r="20" ht="15.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0" customHeight="1">
      <c r="A21" s="1"/>
      <c r="B21" s="5" t="s">
        <v>197</v>
      </c>
      <c r="E21" s="1"/>
      <c r="F21" s="1"/>
      <c r="G21" s="1"/>
      <c r="H21" s="1"/>
      <c r="I21" s="1"/>
      <c r="J21" s="1"/>
      <c r="K21" s="1"/>
      <c r="L21" s="1"/>
      <c r="M21" s="1"/>
      <c r="N21" s="1"/>
      <c r="O21" s="1"/>
      <c r="P21" s="1"/>
      <c r="Q21" s="1"/>
      <c r="R21" s="1"/>
      <c r="S21" s="1"/>
      <c r="T21" s="1"/>
      <c r="U21" s="1"/>
      <c r="V21" s="1"/>
      <c r="W21" s="1"/>
      <c r="X21" s="1"/>
      <c r="Y21" s="1"/>
      <c r="Z21" s="1"/>
    </row>
    <row r="22" ht="15.75" customHeight="1">
      <c r="A22" s="1"/>
      <c r="B22" s="140" t="str">
        <f>IF(AND(ISNUMBER($C$12),$C$12&gt;60),"Year","Month")</f>
        <v>Month</v>
      </c>
      <c r="C22" s="140" t="s">
        <v>200</v>
      </c>
      <c r="D22" s="140" t="s">
        <v>201</v>
      </c>
      <c r="E22" s="1"/>
      <c r="F22" s="1"/>
      <c r="G22" s="1"/>
      <c r="H22" s="1"/>
      <c r="I22" s="1"/>
      <c r="J22" s="1"/>
      <c r="K22" s="1"/>
      <c r="L22" s="1"/>
      <c r="M22" s="1"/>
      <c r="N22" s="1"/>
      <c r="O22" s="1"/>
      <c r="P22" s="1"/>
      <c r="Q22" s="1"/>
      <c r="R22" s="1"/>
      <c r="S22" s="1"/>
      <c r="T22" s="1"/>
      <c r="U22" s="1"/>
      <c r="V22" s="1"/>
      <c r="W22" s="1"/>
      <c r="X22" s="1"/>
      <c r="Y22" s="1"/>
      <c r="Z22" s="1"/>
    </row>
    <row r="23" ht="15.75" customHeight="1">
      <c r="A23" s="1"/>
      <c r="B23" s="142" t="str">
        <f>IF(0&lt;=IF(ISNUMBER($C$12),IF($C$12&gt;60,ROUNDUP($C$12/12,0),$C$12),-1),0,"")</f>
        <v/>
      </c>
      <c r="C23" s="145" t="str">
        <f t="shared" ref="C23:D23" si="2">IF(B23="","",MAX(0,IF($C$7=0,$C$6-$C$8*(IF($C$12&gt;60,B23*12,B23)),$C$6*(1+$C$7/12)^(IF($C$12&gt;60,B23*12,B23))-$C$8*((1+$C$7/12)^(IF($C$12&gt;60,B23*12,B23))-1)/($C$7/12))))</f>
        <v/>
      </c>
      <c r="D23" s="145" t="str">
        <f t="shared" si="2"/>
        <v/>
      </c>
      <c r="E23" s="1"/>
      <c r="F23" s="1"/>
      <c r="G23" s="1"/>
      <c r="H23" s="1"/>
      <c r="I23" s="1"/>
      <c r="J23" s="1"/>
      <c r="K23" s="1"/>
      <c r="L23" s="1"/>
      <c r="M23" s="1"/>
      <c r="N23" s="1"/>
      <c r="O23" s="1"/>
      <c r="P23" s="1"/>
      <c r="Q23" s="1"/>
      <c r="R23" s="1"/>
      <c r="S23" s="1"/>
      <c r="T23" s="1"/>
      <c r="U23" s="1"/>
      <c r="V23" s="1"/>
      <c r="W23" s="1"/>
      <c r="X23" s="1"/>
      <c r="Y23" s="1"/>
      <c r="Z23" s="1"/>
    </row>
    <row r="24" ht="15.75" customHeight="1">
      <c r="A24" s="1"/>
      <c r="B24" s="142" t="str">
        <f>IF(1&lt;=IF(ISNUMBER($C$12),IF($C$12&gt;60,ROUNDUP($C$12/12,0),$C$12),-1),1,"")</f>
        <v/>
      </c>
      <c r="C24" s="145" t="str">
        <f t="shared" ref="C24:C203" si="3">IF(B24="","",MAX(0,IF($C$7=0,$C$6-$C$8*(IF($C$12&gt;60,B24*12,B24)),$C$6*(1+$C$7/12)^(IF($C$12&gt;60,B24*12,B24))-$C$8*((1+$C$7/12)^(IF($C$12&gt;60,B24*12,B24))-1)/($C$7/12))))</f>
        <v/>
      </c>
      <c r="D24" s="145" t="str">
        <f t="shared" ref="D24:D203" si="4">IF(B24="","",MAX(0,IF($C$7=0,$C$6-($C$8+$C$9)*(IF($C$12&gt;60,B24*12,B24)),$C$6*(1+$C$7/12)^(IF($C$12&gt;60,B24*12,B24))-($C$8+$C$9)*((1+$C$7/12)^(IF($C$12&gt;60,B24*12,B24))-1)/($C$7/12))))</f>
        <v/>
      </c>
      <c r="E24" s="1"/>
      <c r="F24" s="1"/>
      <c r="G24" s="1"/>
      <c r="H24" s="1"/>
      <c r="I24" s="1"/>
      <c r="J24" s="1"/>
      <c r="K24" s="1"/>
      <c r="L24" s="1"/>
      <c r="M24" s="1"/>
      <c r="N24" s="1"/>
      <c r="O24" s="1"/>
      <c r="P24" s="1"/>
      <c r="Q24" s="1"/>
      <c r="R24" s="1"/>
      <c r="S24" s="1"/>
      <c r="T24" s="1"/>
      <c r="U24" s="1"/>
      <c r="V24" s="1"/>
      <c r="W24" s="1"/>
      <c r="X24" s="1"/>
      <c r="Y24" s="1"/>
      <c r="Z24" s="1"/>
    </row>
    <row r="25" ht="15.75" customHeight="1">
      <c r="A25" s="1"/>
      <c r="B25" s="142" t="str">
        <f>IF(2&lt;=IF(ISNUMBER($C$12),IF($C$12&gt;60,ROUNDUP($C$12/12,0),$C$12),-1),2,"")</f>
        <v/>
      </c>
      <c r="C25" s="145" t="str">
        <f t="shared" si="3"/>
        <v/>
      </c>
      <c r="D25" s="145" t="str">
        <f t="shared" si="4"/>
        <v/>
      </c>
      <c r="E25" s="1"/>
      <c r="F25" s="1"/>
      <c r="G25" s="1"/>
      <c r="H25" s="1"/>
      <c r="I25" s="1"/>
      <c r="J25" s="1"/>
      <c r="K25" s="1"/>
      <c r="L25" s="1"/>
      <c r="M25" s="1"/>
      <c r="N25" s="1"/>
      <c r="O25" s="1"/>
      <c r="P25" s="1"/>
      <c r="Q25" s="1"/>
      <c r="R25" s="1"/>
      <c r="S25" s="1"/>
      <c r="T25" s="1"/>
      <c r="U25" s="1"/>
      <c r="V25" s="1"/>
      <c r="W25" s="1"/>
      <c r="X25" s="1"/>
      <c r="Y25" s="1"/>
      <c r="Z25" s="1"/>
    </row>
    <row r="26" ht="15.75" customHeight="1">
      <c r="A26" s="1"/>
      <c r="B26" s="142" t="str">
        <f>IF(3&lt;=IF(ISNUMBER($C$12),IF($C$12&gt;60,ROUNDUP($C$12/12,0),$C$12),-1),3,"")</f>
        <v/>
      </c>
      <c r="C26" s="145" t="str">
        <f t="shared" si="3"/>
        <v/>
      </c>
      <c r="D26" s="145" t="str">
        <f t="shared" si="4"/>
        <v/>
      </c>
      <c r="E26" s="1"/>
      <c r="F26" s="1"/>
      <c r="G26" s="1"/>
      <c r="H26" s="1"/>
      <c r="I26" s="1"/>
      <c r="J26" s="1"/>
      <c r="K26" s="1"/>
      <c r="L26" s="1"/>
      <c r="M26" s="1"/>
      <c r="N26" s="1"/>
      <c r="O26" s="1"/>
      <c r="P26" s="1"/>
      <c r="Q26" s="1"/>
      <c r="R26" s="1"/>
      <c r="S26" s="1"/>
      <c r="T26" s="1"/>
      <c r="U26" s="1"/>
      <c r="V26" s="1"/>
      <c r="W26" s="1"/>
      <c r="X26" s="1"/>
      <c r="Y26" s="1"/>
      <c r="Z26" s="1"/>
    </row>
    <row r="27" ht="15.75" customHeight="1">
      <c r="A27" s="1"/>
      <c r="B27" s="142" t="str">
        <f>IF(4&lt;=IF(ISNUMBER($C$12),IF($C$12&gt;60,ROUNDUP($C$12/12,0),$C$12),-1),4,"")</f>
        <v/>
      </c>
      <c r="C27" s="145" t="str">
        <f t="shared" si="3"/>
        <v/>
      </c>
      <c r="D27" s="145" t="str">
        <f t="shared" si="4"/>
        <v/>
      </c>
      <c r="E27" s="1"/>
      <c r="F27" s="1"/>
      <c r="G27" s="1"/>
      <c r="H27" s="1"/>
      <c r="I27" s="1"/>
      <c r="J27" s="1"/>
      <c r="K27" s="1"/>
      <c r="L27" s="1"/>
      <c r="M27" s="1"/>
      <c r="N27" s="1"/>
      <c r="O27" s="1"/>
      <c r="P27" s="1"/>
      <c r="Q27" s="1"/>
      <c r="R27" s="1"/>
      <c r="S27" s="1"/>
      <c r="T27" s="1"/>
      <c r="U27" s="1"/>
      <c r="V27" s="1"/>
      <c r="W27" s="1"/>
      <c r="X27" s="1"/>
      <c r="Y27" s="1"/>
      <c r="Z27" s="1"/>
    </row>
    <row r="28" ht="15.75" customHeight="1">
      <c r="A28" s="1"/>
      <c r="B28" s="142" t="str">
        <f>IF(5&lt;=IF(ISNUMBER($C$12),IF($C$12&gt;60,ROUNDUP($C$12/12,0),$C$12),-1),5,"")</f>
        <v/>
      </c>
      <c r="C28" s="145" t="str">
        <f t="shared" si="3"/>
        <v/>
      </c>
      <c r="D28" s="145" t="str">
        <f t="shared" si="4"/>
        <v/>
      </c>
      <c r="E28" s="1"/>
      <c r="F28" s="1"/>
      <c r="G28" s="1"/>
      <c r="H28" s="1"/>
      <c r="I28" s="1"/>
      <c r="J28" s="1"/>
      <c r="K28" s="1"/>
      <c r="L28" s="1"/>
      <c r="M28" s="1"/>
      <c r="N28" s="1"/>
      <c r="O28" s="1"/>
      <c r="P28" s="1"/>
      <c r="Q28" s="1"/>
      <c r="R28" s="1"/>
      <c r="S28" s="1"/>
      <c r="T28" s="1"/>
      <c r="U28" s="1"/>
      <c r="V28" s="1"/>
      <c r="W28" s="1"/>
      <c r="X28" s="1"/>
      <c r="Y28" s="1"/>
      <c r="Z28" s="1"/>
    </row>
    <row r="29" ht="15.75" customHeight="1">
      <c r="A29" s="1"/>
      <c r="B29" s="142" t="str">
        <f>IF(6&lt;=IF(ISNUMBER($C$12),IF($C$12&gt;60,ROUNDUP($C$12/12,0),$C$12),-1),6,"")</f>
        <v/>
      </c>
      <c r="C29" s="145" t="str">
        <f t="shared" si="3"/>
        <v/>
      </c>
      <c r="D29" s="145" t="str">
        <f t="shared" si="4"/>
        <v/>
      </c>
      <c r="E29" s="1"/>
      <c r="F29" s="1"/>
      <c r="G29" s="1"/>
      <c r="H29" s="1"/>
      <c r="I29" s="1"/>
      <c r="J29" s="1"/>
      <c r="K29" s="1"/>
      <c r="L29" s="1"/>
      <c r="M29" s="1"/>
      <c r="N29" s="1"/>
      <c r="O29" s="1"/>
      <c r="P29" s="1"/>
      <c r="Q29" s="1"/>
      <c r="R29" s="1"/>
      <c r="S29" s="1"/>
      <c r="T29" s="1"/>
      <c r="U29" s="1"/>
      <c r="V29" s="1"/>
      <c r="W29" s="1"/>
      <c r="X29" s="1"/>
      <c r="Y29" s="1"/>
      <c r="Z29" s="1"/>
    </row>
    <row r="30" ht="15.75" customHeight="1">
      <c r="A30" s="1"/>
      <c r="B30" s="142" t="str">
        <f>IF(7&lt;=IF(ISNUMBER($C$12),IF($C$12&gt;60,ROUNDUP($C$12/12,0),$C$12),-1),7,"")</f>
        <v/>
      </c>
      <c r="C30" s="145" t="str">
        <f t="shared" si="3"/>
        <v/>
      </c>
      <c r="D30" s="145" t="str">
        <f t="shared" si="4"/>
        <v/>
      </c>
      <c r="E30" s="1"/>
      <c r="F30" s="1"/>
      <c r="G30" s="1"/>
      <c r="H30" s="1"/>
      <c r="I30" s="1"/>
      <c r="J30" s="1"/>
      <c r="K30" s="1"/>
      <c r="L30" s="1"/>
      <c r="M30" s="1"/>
      <c r="N30" s="1"/>
      <c r="O30" s="1"/>
      <c r="P30" s="1"/>
      <c r="Q30" s="1"/>
      <c r="R30" s="1"/>
      <c r="S30" s="1"/>
      <c r="T30" s="1"/>
      <c r="U30" s="1"/>
      <c r="V30" s="1"/>
      <c r="W30" s="1"/>
      <c r="X30" s="1"/>
      <c r="Y30" s="1"/>
      <c r="Z30" s="1"/>
    </row>
    <row r="31" ht="15.75" customHeight="1">
      <c r="A31" s="1"/>
      <c r="B31" s="142" t="str">
        <f>IF(8&lt;=IF(ISNUMBER($C$12),IF($C$12&gt;60,ROUNDUP($C$12/12,0),$C$12),-1),8,"")</f>
        <v/>
      </c>
      <c r="C31" s="145" t="str">
        <f t="shared" si="3"/>
        <v/>
      </c>
      <c r="D31" s="145" t="str">
        <f t="shared" si="4"/>
        <v/>
      </c>
      <c r="E31" s="1"/>
      <c r="F31" s="1"/>
      <c r="G31" s="1"/>
      <c r="H31" s="1"/>
      <c r="I31" s="1"/>
      <c r="J31" s="1"/>
      <c r="K31" s="1"/>
      <c r="L31" s="1"/>
      <c r="M31" s="1"/>
      <c r="N31" s="1"/>
      <c r="O31" s="1"/>
      <c r="P31" s="1"/>
      <c r="Q31" s="1"/>
      <c r="R31" s="1"/>
      <c r="S31" s="1"/>
      <c r="T31" s="1"/>
      <c r="U31" s="1"/>
      <c r="V31" s="1"/>
      <c r="W31" s="1"/>
      <c r="X31" s="1"/>
      <c r="Y31" s="1"/>
      <c r="Z31" s="1"/>
    </row>
    <row r="32" ht="15.75" customHeight="1">
      <c r="A32" s="1"/>
      <c r="B32" s="142" t="str">
        <f>IF(9&lt;=IF(ISNUMBER($C$12),IF($C$12&gt;60,ROUNDUP($C$12/12,0),$C$12),-1),9,"")</f>
        <v/>
      </c>
      <c r="C32" s="145" t="str">
        <f t="shared" si="3"/>
        <v/>
      </c>
      <c r="D32" s="145" t="str">
        <f t="shared" si="4"/>
        <v/>
      </c>
      <c r="E32" s="1"/>
      <c r="F32" s="1"/>
      <c r="G32" s="1"/>
      <c r="H32" s="1"/>
      <c r="I32" s="1"/>
      <c r="J32" s="1"/>
      <c r="K32" s="1"/>
      <c r="L32" s="1"/>
      <c r="M32" s="1"/>
      <c r="N32" s="1"/>
      <c r="O32" s="1"/>
      <c r="P32" s="1"/>
      <c r="Q32" s="1"/>
      <c r="R32" s="1"/>
      <c r="S32" s="1"/>
      <c r="T32" s="1"/>
      <c r="U32" s="1"/>
      <c r="V32" s="1"/>
      <c r="W32" s="1"/>
      <c r="X32" s="1"/>
      <c r="Y32" s="1"/>
      <c r="Z32" s="1"/>
    </row>
    <row r="33" ht="15.75" customHeight="1">
      <c r="A33" s="1"/>
      <c r="B33" s="142" t="str">
        <f>IF(10&lt;=IF(ISNUMBER($C$12),IF($C$12&gt;60,ROUNDUP($C$12/12,0),$C$12),-1),10,"")</f>
        <v/>
      </c>
      <c r="C33" s="145" t="str">
        <f t="shared" si="3"/>
        <v/>
      </c>
      <c r="D33" s="145" t="str">
        <f t="shared" si="4"/>
        <v/>
      </c>
      <c r="E33" s="1"/>
      <c r="F33" s="1"/>
      <c r="G33" s="1"/>
      <c r="H33" s="1"/>
      <c r="I33" s="1"/>
      <c r="J33" s="1"/>
      <c r="K33" s="1"/>
      <c r="L33" s="1"/>
      <c r="M33" s="1"/>
      <c r="N33" s="1"/>
      <c r="O33" s="1"/>
      <c r="P33" s="1"/>
      <c r="Q33" s="1"/>
      <c r="R33" s="1"/>
      <c r="S33" s="1"/>
      <c r="T33" s="1"/>
      <c r="U33" s="1"/>
      <c r="V33" s="1"/>
      <c r="W33" s="1"/>
      <c r="X33" s="1"/>
      <c r="Y33" s="1"/>
      <c r="Z33" s="1"/>
    </row>
    <row r="34" ht="15.75" customHeight="1">
      <c r="A34" s="1"/>
      <c r="B34" s="142" t="str">
        <f>IF(11&lt;=IF(ISNUMBER($C$12),IF($C$12&gt;60,ROUNDUP($C$12/12,0),$C$12),-1),11,"")</f>
        <v/>
      </c>
      <c r="C34" s="145" t="str">
        <f t="shared" si="3"/>
        <v/>
      </c>
      <c r="D34" s="145" t="str">
        <f t="shared" si="4"/>
        <v/>
      </c>
      <c r="E34" s="1"/>
      <c r="F34" s="1"/>
      <c r="G34" s="1"/>
      <c r="H34" s="1"/>
      <c r="I34" s="1"/>
      <c r="J34" s="1"/>
      <c r="K34" s="1"/>
      <c r="L34" s="1"/>
      <c r="M34" s="1"/>
      <c r="N34" s="1"/>
      <c r="O34" s="1"/>
      <c r="P34" s="1"/>
      <c r="Q34" s="1"/>
      <c r="R34" s="1"/>
      <c r="S34" s="1"/>
      <c r="T34" s="1"/>
      <c r="U34" s="1"/>
      <c r="V34" s="1"/>
      <c r="W34" s="1"/>
      <c r="X34" s="1"/>
      <c r="Y34" s="1"/>
      <c r="Z34" s="1"/>
    </row>
    <row r="35" ht="15.75" customHeight="1">
      <c r="A35" s="1"/>
      <c r="B35" s="142" t="str">
        <f>IF(12&lt;=IF(ISNUMBER($C$12),IF($C$12&gt;60,ROUNDUP($C$12/12,0),$C$12),-1),12,"")</f>
        <v/>
      </c>
      <c r="C35" s="145" t="str">
        <f t="shared" si="3"/>
        <v/>
      </c>
      <c r="D35" s="145" t="str">
        <f t="shared" si="4"/>
        <v/>
      </c>
      <c r="E35" s="1"/>
      <c r="F35" s="1"/>
      <c r="G35" s="1"/>
      <c r="H35" s="1"/>
      <c r="I35" s="1"/>
      <c r="J35" s="1"/>
      <c r="K35" s="1"/>
      <c r="L35" s="1"/>
      <c r="M35" s="1"/>
      <c r="N35" s="1"/>
      <c r="O35" s="1"/>
      <c r="P35" s="1"/>
      <c r="Q35" s="1"/>
      <c r="R35" s="1"/>
      <c r="S35" s="1"/>
      <c r="T35" s="1"/>
      <c r="U35" s="1"/>
      <c r="V35" s="1"/>
      <c r="W35" s="1"/>
      <c r="X35" s="1"/>
      <c r="Y35" s="1"/>
      <c r="Z35" s="1"/>
    </row>
    <row r="36" ht="15.75" customHeight="1">
      <c r="A36" s="1"/>
      <c r="B36" s="142" t="str">
        <f>IF(13&lt;=IF(ISNUMBER($C$12),IF($C$12&gt;60,ROUNDUP($C$12/12,0),$C$12),-1),13,"")</f>
        <v/>
      </c>
      <c r="C36" s="145" t="str">
        <f t="shared" si="3"/>
        <v/>
      </c>
      <c r="D36" s="145" t="str">
        <f t="shared" si="4"/>
        <v/>
      </c>
      <c r="E36" s="1"/>
      <c r="F36" s="1"/>
      <c r="G36" s="1"/>
      <c r="H36" s="1"/>
      <c r="I36" s="1"/>
      <c r="J36" s="1"/>
      <c r="K36" s="1"/>
      <c r="L36" s="1"/>
      <c r="M36" s="1"/>
      <c r="N36" s="1"/>
      <c r="O36" s="1"/>
      <c r="P36" s="1"/>
      <c r="Q36" s="1"/>
      <c r="R36" s="1"/>
      <c r="S36" s="1"/>
      <c r="T36" s="1"/>
      <c r="U36" s="1"/>
      <c r="V36" s="1"/>
      <c r="W36" s="1"/>
      <c r="X36" s="1"/>
      <c r="Y36" s="1"/>
      <c r="Z36" s="1"/>
    </row>
    <row r="37" ht="15.75" customHeight="1">
      <c r="A37" s="1"/>
      <c r="B37" s="142" t="str">
        <f>IF(14&lt;=IF(ISNUMBER($C$12),IF($C$12&gt;60,ROUNDUP($C$12/12,0),$C$12),-1),14,"")</f>
        <v/>
      </c>
      <c r="C37" s="145" t="str">
        <f t="shared" si="3"/>
        <v/>
      </c>
      <c r="D37" s="145" t="str">
        <f t="shared" si="4"/>
        <v/>
      </c>
      <c r="E37" s="1"/>
      <c r="F37" s="1"/>
      <c r="G37" s="1"/>
      <c r="H37" s="1"/>
      <c r="I37" s="1"/>
      <c r="J37" s="1"/>
      <c r="K37" s="1"/>
      <c r="L37" s="1"/>
      <c r="M37" s="1"/>
      <c r="N37" s="1"/>
      <c r="O37" s="1"/>
      <c r="P37" s="1"/>
      <c r="Q37" s="1"/>
      <c r="R37" s="1"/>
      <c r="S37" s="1"/>
      <c r="T37" s="1"/>
      <c r="U37" s="1"/>
      <c r="V37" s="1"/>
      <c r="W37" s="1"/>
      <c r="X37" s="1"/>
      <c r="Y37" s="1"/>
      <c r="Z37" s="1"/>
    </row>
    <row r="38" ht="15.75" customHeight="1">
      <c r="A38" s="1"/>
      <c r="B38" s="142" t="str">
        <f>IF(15&lt;=IF(ISNUMBER($C$12),IF($C$12&gt;60,ROUNDUP($C$12/12,0),$C$12),-1),15,"")</f>
        <v/>
      </c>
      <c r="C38" s="145" t="str">
        <f t="shared" si="3"/>
        <v/>
      </c>
      <c r="D38" s="145" t="str">
        <f t="shared" si="4"/>
        <v/>
      </c>
      <c r="E38" s="1"/>
      <c r="F38" s="1"/>
      <c r="G38" s="1"/>
      <c r="H38" s="1"/>
      <c r="I38" s="1"/>
      <c r="J38" s="1"/>
      <c r="K38" s="1"/>
      <c r="L38" s="1"/>
      <c r="M38" s="1"/>
      <c r="N38" s="1"/>
      <c r="O38" s="1"/>
      <c r="P38" s="1"/>
      <c r="Q38" s="1"/>
      <c r="R38" s="1"/>
      <c r="S38" s="1"/>
      <c r="T38" s="1"/>
      <c r="U38" s="1"/>
      <c r="V38" s="1"/>
      <c r="W38" s="1"/>
      <c r="X38" s="1"/>
      <c r="Y38" s="1"/>
      <c r="Z38" s="1"/>
    </row>
    <row r="39" ht="15.75" customHeight="1">
      <c r="A39" s="1"/>
      <c r="B39" s="142" t="str">
        <f>IF(16&lt;=IF(ISNUMBER($C$12),IF($C$12&gt;60,ROUNDUP($C$12/12,0),$C$12),-1),16,"")</f>
        <v/>
      </c>
      <c r="C39" s="145" t="str">
        <f t="shared" si="3"/>
        <v/>
      </c>
      <c r="D39" s="145" t="str">
        <f t="shared" si="4"/>
        <v/>
      </c>
      <c r="E39" s="1"/>
      <c r="F39" s="1"/>
      <c r="G39" s="1"/>
      <c r="H39" s="1"/>
      <c r="I39" s="1"/>
      <c r="J39" s="1"/>
      <c r="K39" s="1"/>
      <c r="L39" s="1"/>
      <c r="M39" s="1"/>
      <c r="N39" s="1"/>
      <c r="O39" s="1"/>
      <c r="P39" s="1"/>
      <c r="Q39" s="1"/>
      <c r="R39" s="1"/>
      <c r="S39" s="1"/>
      <c r="T39" s="1"/>
      <c r="U39" s="1"/>
      <c r="V39" s="1"/>
      <c r="W39" s="1"/>
      <c r="X39" s="1"/>
      <c r="Y39" s="1"/>
      <c r="Z39" s="1"/>
    </row>
    <row r="40" ht="15.75" customHeight="1">
      <c r="A40" s="1"/>
      <c r="B40" s="142" t="str">
        <f>IF(17&lt;=IF(ISNUMBER($C$12),IF($C$12&gt;60,ROUNDUP($C$12/12,0),$C$12),-1),17,"")</f>
        <v/>
      </c>
      <c r="C40" s="145" t="str">
        <f t="shared" si="3"/>
        <v/>
      </c>
      <c r="D40" s="145" t="str">
        <f t="shared" si="4"/>
        <v/>
      </c>
      <c r="E40" s="1"/>
      <c r="F40" s="1"/>
      <c r="G40" s="1"/>
      <c r="H40" s="1"/>
      <c r="I40" s="1"/>
      <c r="J40" s="1"/>
      <c r="K40" s="1"/>
      <c r="L40" s="1"/>
      <c r="M40" s="1"/>
      <c r="N40" s="1"/>
      <c r="O40" s="1"/>
      <c r="P40" s="1"/>
      <c r="Q40" s="1"/>
      <c r="R40" s="1"/>
      <c r="S40" s="1"/>
      <c r="T40" s="1"/>
      <c r="U40" s="1"/>
      <c r="V40" s="1"/>
      <c r="W40" s="1"/>
      <c r="X40" s="1"/>
      <c r="Y40" s="1"/>
      <c r="Z40" s="1"/>
    </row>
    <row r="41" ht="15.75" customHeight="1">
      <c r="A41" s="1"/>
      <c r="B41" s="142" t="str">
        <f>IF(18&lt;=IF(ISNUMBER($C$12),IF($C$12&gt;60,ROUNDUP($C$12/12,0),$C$12),-1),18,"")</f>
        <v/>
      </c>
      <c r="C41" s="145" t="str">
        <f t="shared" si="3"/>
        <v/>
      </c>
      <c r="D41" s="145" t="str">
        <f t="shared" si="4"/>
        <v/>
      </c>
      <c r="E41" s="1"/>
      <c r="F41" s="1"/>
      <c r="G41" s="1"/>
      <c r="H41" s="1"/>
      <c r="I41" s="1"/>
      <c r="J41" s="1"/>
      <c r="K41" s="1"/>
      <c r="L41" s="1"/>
      <c r="M41" s="1"/>
      <c r="N41" s="1"/>
      <c r="O41" s="1"/>
      <c r="P41" s="1"/>
      <c r="Q41" s="1"/>
      <c r="R41" s="1"/>
      <c r="S41" s="1"/>
      <c r="T41" s="1"/>
      <c r="U41" s="1"/>
      <c r="V41" s="1"/>
      <c r="W41" s="1"/>
      <c r="X41" s="1"/>
      <c r="Y41" s="1"/>
      <c r="Z41" s="1"/>
    </row>
    <row r="42" ht="15.75" customHeight="1">
      <c r="A42" s="1"/>
      <c r="B42" s="142" t="str">
        <f>IF(19&lt;=IF(ISNUMBER($C$12),IF($C$12&gt;60,ROUNDUP($C$12/12,0),$C$12),-1),19,"")</f>
        <v/>
      </c>
      <c r="C42" s="145" t="str">
        <f t="shared" si="3"/>
        <v/>
      </c>
      <c r="D42" s="145" t="str">
        <f t="shared" si="4"/>
        <v/>
      </c>
      <c r="E42" s="1"/>
      <c r="F42" s="1"/>
      <c r="G42" s="1"/>
      <c r="H42" s="1"/>
      <c r="I42" s="1"/>
      <c r="J42" s="1"/>
      <c r="K42" s="1"/>
      <c r="L42" s="1"/>
      <c r="M42" s="1"/>
      <c r="N42" s="1"/>
      <c r="O42" s="1"/>
      <c r="P42" s="1"/>
      <c r="Q42" s="1"/>
      <c r="R42" s="1"/>
      <c r="S42" s="1"/>
      <c r="T42" s="1"/>
      <c r="U42" s="1"/>
      <c r="V42" s="1"/>
      <c r="W42" s="1"/>
      <c r="X42" s="1"/>
      <c r="Y42" s="1"/>
      <c r="Z42" s="1"/>
    </row>
    <row r="43" ht="15.75" customHeight="1">
      <c r="A43" s="1"/>
      <c r="B43" s="142" t="str">
        <f>IF(20&lt;=IF(ISNUMBER($C$12),IF($C$12&gt;60,ROUNDUP($C$12/12,0),$C$12),-1),20,"")</f>
        <v/>
      </c>
      <c r="C43" s="145" t="str">
        <f t="shared" si="3"/>
        <v/>
      </c>
      <c r="D43" s="145" t="str">
        <f t="shared" si="4"/>
        <v/>
      </c>
      <c r="E43" s="1"/>
      <c r="F43" s="1"/>
      <c r="G43" s="1"/>
      <c r="H43" s="1"/>
      <c r="I43" s="1"/>
      <c r="J43" s="1"/>
      <c r="K43" s="1"/>
      <c r="L43" s="1"/>
      <c r="M43" s="1"/>
      <c r="N43" s="1"/>
      <c r="O43" s="1"/>
      <c r="P43" s="1"/>
      <c r="Q43" s="1"/>
      <c r="R43" s="1"/>
      <c r="S43" s="1"/>
      <c r="T43" s="1"/>
      <c r="U43" s="1"/>
      <c r="V43" s="1"/>
      <c r="W43" s="1"/>
      <c r="X43" s="1"/>
      <c r="Y43" s="1"/>
      <c r="Z43" s="1"/>
    </row>
    <row r="44" ht="15.75" customHeight="1">
      <c r="A44" s="1"/>
      <c r="B44" s="142" t="str">
        <f>IF(21&lt;=IF(ISNUMBER($C$12),IF($C$12&gt;60,ROUNDUP($C$12/12,0),$C$12),-1),21,"")</f>
        <v/>
      </c>
      <c r="C44" s="145" t="str">
        <f t="shared" si="3"/>
        <v/>
      </c>
      <c r="D44" s="145" t="str">
        <f t="shared" si="4"/>
        <v/>
      </c>
      <c r="E44" s="1"/>
      <c r="F44" s="1"/>
      <c r="G44" s="1"/>
      <c r="H44" s="1"/>
      <c r="I44" s="1"/>
      <c r="J44" s="1"/>
      <c r="K44" s="1"/>
      <c r="L44" s="1"/>
      <c r="M44" s="1"/>
      <c r="N44" s="1"/>
      <c r="O44" s="1"/>
      <c r="P44" s="1"/>
      <c r="Q44" s="1"/>
      <c r="R44" s="1"/>
      <c r="S44" s="1"/>
      <c r="T44" s="1"/>
      <c r="U44" s="1"/>
      <c r="V44" s="1"/>
      <c r="W44" s="1"/>
      <c r="X44" s="1"/>
      <c r="Y44" s="1"/>
      <c r="Z44" s="1"/>
    </row>
    <row r="45" ht="15.75" customHeight="1">
      <c r="A45" s="1"/>
      <c r="B45" s="142" t="str">
        <f>IF(22&lt;=IF(ISNUMBER($C$12),IF($C$12&gt;60,ROUNDUP($C$12/12,0),$C$12),-1),22,"")</f>
        <v/>
      </c>
      <c r="C45" s="145" t="str">
        <f t="shared" si="3"/>
        <v/>
      </c>
      <c r="D45" s="145" t="str">
        <f t="shared" si="4"/>
        <v/>
      </c>
      <c r="E45" s="1"/>
      <c r="F45" s="1"/>
      <c r="G45" s="1"/>
      <c r="H45" s="1"/>
      <c r="I45" s="1"/>
      <c r="J45" s="1"/>
      <c r="K45" s="1"/>
      <c r="L45" s="1"/>
      <c r="M45" s="1"/>
      <c r="N45" s="1"/>
      <c r="O45" s="1"/>
      <c r="P45" s="1"/>
      <c r="Q45" s="1"/>
      <c r="R45" s="1"/>
      <c r="S45" s="1"/>
      <c r="T45" s="1"/>
      <c r="U45" s="1"/>
      <c r="V45" s="1"/>
      <c r="W45" s="1"/>
      <c r="X45" s="1"/>
      <c r="Y45" s="1"/>
      <c r="Z45" s="1"/>
    </row>
    <row r="46" ht="15.75" customHeight="1">
      <c r="A46" s="1"/>
      <c r="B46" s="142" t="str">
        <f>IF(23&lt;=IF(ISNUMBER($C$12),IF($C$12&gt;60,ROUNDUP($C$12/12,0),$C$12),-1),23,"")</f>
        <v/>
      </c>
      <c r="C46" s="145" t="str">
        <f t="shared" si="3"/>
        <v/>
      </c>
      <c r="D46" s="145" t="str">
        <f t="shared" si="4"/>
        <v/>
      </c>
      <c r="E46" s="1"/>
      <c r="F46" s="1"/>
      <c r="G46" s="1"/>
      <c r="H46" s="1"/>
      <c r="I46" s="1"/>
      <c r="J46" s="1"/>
      <c r="K46" s="1"/>
      <c r="L46" s="1"/>
      <c r="M46" s="1"/>
      <c r="N46" s="1"/>
      <c r="O46" s="1"/>
      <c r="P46" s="1"/>
      <c r="Q46" s="1"/>
      <c r="R46" s="1"/>
      <c r="S46" s="1"/>
      <c r="T46" s="1"/>
      <c r="U46" s="1"/>
      <c r="V46" s="1"/>
      <c r="W46" s="1"/>
      <c r="X46" s="1"/>
      <c r="Y46" s="1"/>
      <c r="Z46" s="1"/>
    </row>
    <row r="47" ht="15.75" customHeight="1">
      <c r="A47" s="1"/>
      <c r="B47" s="142" t="str">
        <f>IF(24&lt;=IF(ISNUMBER($C$12),IF($C$12&gt;60,ROUNDUP($C$12/12,0),$C$12),-1),24,"")</f>
        <v/>
      </c>
      <c r="C47" s="145" t="str">
        <f t="shared" si="3"/>
        <v/>
      </c>
      <c r="D47" s="145" t="str">
        <f t="shared" si="4"/>
        <v/>
      </c>
      <c r="E47" s="1"/>
      <c r="F47" s="1"/>
      <c r="G47" s="1"/>
      <c r="H47" s="1"/>
      <c r="I47" s="1"/>
      <c r="J47" s="1"/>
      <c r="K47" s="1"/>
      <c r="L47" s="1"/>
      <c r="M47" s="1"/>
      <c r="N47" s="1"/>
      <c r="O47" s="1"/>
      <c r="P47" s="1"/>
      <c r="Q47" s="1"/>
      <c r="R47" s="1"/>
      <c r="S47" s="1"/>
      <c r="T47" s="1"/>
      <c r="U47" s="1"/>
      <c r="V47" s="1"/>
      <c r="W47" s="1"/>
      <c r="X47" s="1"/>
      <c r="Y47" s="1"/>
      <c r="Z47" s="1"/>
    </row>
    <row r="48" ht="15.75" customHeight="1">
      <c r="A48" s="1"/>
      <c r="B48" s="142" t="str">
        <f>IF(25&lt;=IF(ISNUMBER($C$12),IF($C$12&gt;60,ROUNDUP($C$12/12,0),$C$12),-1),25,"")</f>
        <v/>
      </c>
      <c r="C48" s="145" t="str">
        <f t="shared" si="3"/>
        <v/>
      </c>
      <c r="D48" s="145" t="str">
        <f t="shared" si="4"/>
        <v/>
      </c>
      <c r="E48" s="1"/>
      <c r="F48" s="1"/>
      <c r="G48" s="1"/>
      <c r="H48" s="1"/>
      <c r="I48" s="1"/>
      <c r="J48" s="1"/>
      <c r="K48" s="1"/>
      <c r="L48" s="1"/>
      <c r="M48" s="1"/>
      <c r="N48" s="1"/>
      <c r="O48" s="1"/>
      <c r="P48" s="1"/>
      <c r="Q48" s="1"/>
      <c r="R48" s="1"/>
      <c r="S48" s="1"/>
      <c r="T48" s="1"/>
      <c r="U48" s="1"/>
      <c r="V48" s="1"/>
      <c r="W48" s="1"/>
      <c r="X48" s="1"/>
      <c r="Y48" s="1"/>
      <c r="Z48" s="1"/>
    </row>
    <row r="49" ht="15.75" customHeight="1">
      <c r="A49" s="1"/>
      <c r="B49" s="142" t="str">
        <f>IF(26&lt;=IF(ISNUMBER($C$12),IF($C$12&gt;60,ROUNDUP($C$12/12,0),$C$12),-1),26,"")</f>
        <v/>
      </c>
      <c r="C49" s="145" t="str">
        <f t="shared" si="3"/>
        <v/>
      </c>
      <c r="D49" s="145" t="str">
        <f t="shared" si="4"/>
        <v/>
      </c>
      <c r="E49" s="1"/>
      <c r="F49" s="1"/>
      <c r="G49" s="1"/>
      <c r="H49" s="1"/>
      <c r="I49" s="1"/>
      <c r="J49" s="1"/>
      <c r="K49" s="1"/>
      <c r="L49" s="1"/>
      <c r="M49" s="1"/>
      <c r="N49" s="1"/>
      <c r="O49" s="1"/>
      <c r="P49" s="1"/>
      <c r="Q49" s="1"/>
      <c r="R49" s="1"/>
      <c r="S49" s="1"/>
      <c r="T49" s="1"/>
      <c r="U49" s="1"/>
      <c r="V49" s="1"/>
      <c r="W49" s="1"/>
      <c r="X49" s="1"/>
      <c r="Y49" s="1"/>
      <c r="Z49" s="1"/>
    </row>
    <row r="50" ht="15.75" customHeight="1">
      <c r="A50" s="1"/>
      <c r="B50" s="142" t="str">
        <f>IF(27&lt;=IF(ISNUMBER($C$12),IF($C$12&gt;60,ROUNDUP($C$12/12,0),$C$12),-1),27,"")</f>
        <v/>
      </c>
      <c r="C50" s="145" t="str">
        <f t="shared" si="3"/>
        <v/>
      </c>
      <c r="D50" s="145" t="str">
        <f t="shared" si="4"/>
        <v/>
      </c>
      <c r="E50" s="1"/>
      <c r="F50" s="1"/>
      <c r="G50" s="1"/>
      <c r="H50" s="1"/>
      <c r="I50" s="1"/>
      <c r="J50" s="1"/>
      <c r="K50" s="1"/>
      <c r="L50" s="1"/>
      <c r="M50" s="1"/>
      <c r="N50" s="1"/>
      <c r="O50" s="1"/>
      <c r="P50" s="1"/>
      <c r="Q50" s="1"/>
      <c r="R50" s="1"/>
      <c r="S50" s="1"/>
      <c r="T50" s="1"/>
      <c r="U50" s="1"/>
      <c r="V50" s="1"/>
      <c r="W50" s="1"/>
      <c r="X50" s="1"/>
      <c r="Y50" s="1"/>
      <c r="Z50" s="1"/>
    </row>
    <row r="51" ht="15.75" customHeight="1">
      <c r="A51" s="1"/>
      <c r="B51" s="142" t="str">
        <f>IF(28&lt;=IF(ISNUMBER($C$12),IF($C$12&gt;60,ROUNDUP($C$12/12,0),$C$12),-1),28,"")</f>
        <v/>
      </c>
      <c r="C51" s="145" t="str">
        <f t="shared" si="3"/>
        <v/>
      </c>
      <c r="D51" s="145" t="str">
        <f t="shared" si="4"/>
        <v/>
      </c>
      <c r="E51" s="1"/>
      <c r="F51" s="1"/>
      <c r="G51" s="1"/>
      <c r="H51" s="1"/>
      <c r="I51" s="1"/>
      <c r="J51" s="1"/>
      <c r="K51" s="1"/>
      <c r="L51" s="1"/>
      <c r="M51" s="1"/>
      <c r="N51" s="1"/>
      <c r="O51" s="1"/>
      <c r="P51" s="1"/>
      <c r="Q51" s="1"/>
      <c r="R51" s="1"/>
      <c r="S51" s="1"/>
      <c r="T51" s="1"/>
      <c r="U51" s="1"/>
      <c r="V51" s="1"/>
      <c r="W51" s="1"/>
      <c r="X51" s="1"/>
      <c r="Y51" s="1"/>
      <c r="Z51" s="1"/>
    </row>
    <row r="52" ht="15.75" customHeight="1">
      <c r="A52" s="1"/>
      <c r="B52" s="142" t="str">
        <f>IF(29&lt;=IF(ISNUMBER($C$12),IF($C$12&gt;60,ROUNDUP($C$12/12,0),$C$12),-1),29,"")</f>
        <v/>
      </c>
      <c r="C52" s="145" t="str">
        <f t="shared" si="3"/>
        <v/>
      </c>
      <c r="D52" s="145" t="str">
        <f t="shared" si="4"/>
        <v/>
      </c>
      <c r="E52" s="1"/>
      <c r="F52" s="1"/>
      <c r="G52" s="1"/>
      <c r="H52" s="1"/>
      <c r="I52" s="1"/>
      <c r="J52" s="1"/>
      <c r="K52" s="1"/>
      <c r="L52" s="1"/>
      <c r="M52" s="1"/>
      <c r="N52" s="1"/>
      <c r="O52" s="1"/>
      <c r="P52" s="1"/>
      <c r="Q52" s="1"/>
      <c r="R52" s="1"/>
      <c r="S52" s="1"/>
      <c r="T52" s="1"/>
      <c r="U52" s="1"/>
      <c r="V52" s="1"/>
      <c r="W52" s="1"/>
      <c r="X52" s="1"/>
      <c r="Y52" s="1"/>
      <c r="Z52" s="1"/>
    </row>
    <row r="53" ht="15.75" customHeight="1">
      <c r="A53" s="1"/>
      <c r="B53" s="142" t="str">
        <f>IF(30&lt;=IF(ISNUMBER($C$12),IF($C$12&gt;60,ROUNDUP($C$12/12,0),$C$12),-1),30,"")</f>
        <v/>
      </c>
      <c r="C53" s="145" t="str">
        <f t="shared" si="3"/>
        <v/>
      </c>
      <c r="D53" s="145" t="str">
        <f t="shared" si="4"/>
        <v/>
      </c>
      <c r="E53" s="1"/>
      <c r="F53" s="1"/>
      <c r="G53" s="1"/>
      <c r="H53" s="1"/>
      <c r="I53" s="1"/>
      <c r="J53" s="1"/>
      <c r="K53" s="1"/>
      <c r="L53" s="1"/>
      <c r="M53" s="1"/>
      <c r="N53" s="1"/>
      <c r="O53" s="1"/>
      <c r="P53" s="1"/>
      <c r="Q53" s="1"/>
      <c r="R53" s="1"/>
      <c r="S53" s="1"/>
      <c r="T53" s="1"/>
      <c r="U53" s="1"/>
      <c r="V53" s="1"/>
      <c r="W53" s="1"/>
      <c r="X53" s="1"/>
      <c r="Y53" s="1"/>
      <c r="Z53" s="1"/>
    </row>
    <row r="54" ht="15.75" customHeight="1">
      <c r="A54" s="1"/>
      <c r="B54" s="142" t="str">
        <f>IF(31&lt;=IF(ISNUMBER($C$12),IF($C$12&gt;60,ROUNDUP($C$12/12,0),$C$12),-1),31,"")</f>
        <v/>
      </c>
      <c r="C54" s="145" t="str">
        <f t="shared" si="3"/>
        <v/>
      </c>
      <c r="D54" s="145" t="str">
        <f t="shared" si="4"/>
        <v/>
      </c>
      <c r="E54" s="1"/>
      <c r="F54" s="1"/>
      <c r="G54" s="1"/>
      <c r="H54" s="1"/>
      <c r="I54" s="1"/>
      <c r="J54" s="1"/>
      <c r="K54" s="1"/>
      <c r="L54" s="1"/>
      <c r="M54" s="1"/>
      <c r="N54" s="1"/>
      <c r="O54" s="1"/>
      <c r="P54" s="1"/>
      <c r="Q54" s="1"/>
      <c r="R54" s="1"/>
      <c r="S54" s="1"/>
      <c r="T54" s="1"/>
      <c r="U54" s="1"/>
      <c r="V54" s="1"/>
      <c r="W54" s="1"/>
      <c r="X54" s="1"/>
      <c r="Y54" s="1"/>
      <c r="Z54" s="1"/>
    </row>
    <row r="55" ht="15.75" customHeight="1">
      <c r="A55" s="1"/>
      <c r="B55" s="142" t="str">
        <f>IF(32&lt;=IF(ISNUMBER($C$12),IF($C$12&gt;60,ROUNDUP($C$12/12,0),$C$12),-1),32,"")</f>
        <v/>
      </c>
      <c r="C55" s="145" t="str">
        <f t="shared" si="3"/>
        <v/>
      </c>
      <c r="D55" s="145" t="str">
        <f t="shared" si="4"/>
        <v/>
      </c>
      <c r="E55" s="1"/>
      <c r="F55" s="1"/>
      <c r="G55" s="1"/>
      <c r="H55" s="1"/>
      <c r="I55" s="1"/>
      <c r="J55" s="1"/>
      <c r="K55" s="1"/>
      <c r="L55" s="1"/>
      <c r="M55" s="1"/>
      <c r="N55" s="1"/>
      <c r="O55" s="1"/>
      <c r="P55" s="1"/>
      <c r="Q55" s="1"/>
      <c r="R55" s="1"/>
      <c r="S55" s="1"/>
      <c r="T55" s="1"/>
      <c r="U55" s="1"/>
      <c r="V55" s="1"/>
      <c r="W55" s="1"/>
      <c r="X55" s="1"/>
      <c r="Y55" s="1"/>
      <c r="Z55" s="1"/>
    </row>
    <row r="56" ht="15.75" customHeight="1">
      <c r="A56" s="1"/>
      <c r="B56" s="142" t="str">
        <f>IF(33&lt;=IF(ISNUMBER($C$12),IF($C$12&gt;60,ROUNDUP($C$12/12,0),$C$12),-1),33,"")</f>
        <v/>
      </c>
      <c r="C56" s="145" t="str">
        <f t="shared" si="3"/>
        <v/>
      </c>
      <c r="D56" s="145" t="str">
        <f t="shared" si="4"/>
        <v/>
      </c>
      <c r="E56" s="1"/>
      <c r="F56" s="1"/>
      <c r="G56" s="1"/>
      <c r="H56" s="1"/>
      <c r="I56" s="1"/>
      <c r="J56" s="1"/>
      <c r="K56" s="1"/>
      <c r="L56" s="1"/>
      <c r="M56" s="1"/>
      <c r="N56" s="1"/>
      <c r="O56" s="1"/>
      <c r="P56" s="1"/>
      <c r="Q56" s="1"/>
      <c r="R56" s="1"/>
      <c r="S56" s="1"/>
      <c r="T56" s="1"/>
      <c r="U56" s="1"/>
      <c r="V56" s="1"/>
      <c r="W56" s="1"/>
      <c r="X56" s="1"/>
      <c r="Y56" s="1"/>
      <c r="Z56" s="1"/>
    </row>
    <row r="57" ht="15.75" customHeight="1">
      <c r="A57" s="1"/>
      <c r="B57" s="142" t="str">
        <f>IF(34&lt;=IF(ISNUMBER($C$12),IF($C$12&gt;60,ROUNDUP($C$12/12,0),$C$12),-1),34,"")</f>
        <v/>
      </c>
      <c r="C57" s="145" t="str">
        <f t="shared" si="3"/>
        <v/>
      </c>
      <c r="D57" s="145" t="str">
        <f t="shared" si="4"/>
        <v/>
      </c>
      <c r="E57" s="1"/>
      <c r="F57" s="1"/>
      <c r="G57" s="1"/>
      <c r="H57" s="1"/>
      <c r="I57" s="1"/>
      <c r="J57" s="1"/>
      <c r="K57" s="1"/>
      <c r="L57" s="1"/>
      <c r="M57" s="1"/>
      <c r="N57" s="1"/>
      <c r="O57" s="1"/>
      <c r="P57" s="1"/>
      <c r="Q57" s="1"/>
      <c r="R57" s="1"/>
      <c r="S57" s="1"/>
      <c r="T57" s="1"/>
      <c r="U57" s="1"/>
      <c r="V57" s="1"/>
      <c r="W57" s="1"/>
      <c r="X57" s="1"/>
      <c r="Y57" s="1"/>
      <c r="Z57" s="1"/>
    </row>
    <row r="58" ht="15.75" customHeight="1">
      <c r="A58" s="1"/>
      <c r="B58" s="142" t="str">
        <f>IF(35&lt;=IF(ISNUMBER($C$12),IF($C$12&gt;60,ROUNDUP($C$12/12,0),$C$12),-1),35,"")</f>
        <v/>
      </c>
      <c r="C58" s="145" t="str">
        <f t="shared" si="3"/>
        <v/>
      </c>
      <c r="D58" s="145" t="str">
        <f t="shared" si="4"/>
        <v/>
      </c>
      <c r="E58" s="1"/>
      <c r="F58" s="1"/>
      <c r="G58" s="1"/>
      <c r="H58" s="1"/>
      <c r="I58" s="1"/>
      <c r="J58" s="1"/>
      <c r="K58" s="1"/>
      <c r="L58" s="1"/>
      <c r="M58" s="1"/>
      <c r="N58" s="1"/>
      <c r="O58" s="1"/>
      <c r="P58" s="1"/>
      <c r="Q58" s="1"/>
      <c r="R58" s="1"/>
      <c r="S58" s="1"/>
      <c r="T58" s="1"/>
      <c r="U58" s="1"/>
      <c r="V58" s="1"/>
      <c r="W58" s="1"/>
      <c r="X58" s="1"/>
      <c r="Y58" s="1"/>
      <c r="Z58" s="1"/>
    </row>
    <row r="59" ht="15.75" customHeight="1">
      <c r="A59" s="1"/>
      <c r="B59" s="142" t="str">
        <f>IF(36&lt;=IF(ISNUMBER($C$12),IF($C$12&gt;60,ROUNDUP($C$12/12,0),$C$12),-1),36,"")</f>
        <v/>
      </c>
      <c r="C59" s="145" t="str">
        <f t="shared" si="3"/>
        <v/>
      </c>
      <c r="D59" s="145" t="str">
        <f t="shared" si="4"/>
        <v/>
      </c>
      <c r="E59" s="1"/>
      <c r="F59" s="1"/>
      <c r="G59" s="1"/>
      <c r="H59" s="1"/>
      <c r="I59" s="1"/>
      <c r="J59" s="1"/>
      <c r="K59" s="1"/>
      <c r="L59" s="1"/>
      <c r="M59" s="1"/>
      <c r="N59" s="1"/>
      <c r="O59" s="1"/>
      <c r="P59" s="1"/>
      <c r="Q59" s="1"/>
      <c r="R59" s="1"/>
      <c r="S59" s="1"/>
      <c r="T59" s="1"/>
      <c r="U59" s="1"/>
      <c r="V59" s="1"/>
      <c r="W59" s="1"/>
      <c r="X59" s="1"/>
      <c r="Y59" s="1"/>
      <c r="Z59" s="1"/>
    </row>
    <row r="60" ht="15.75" customHeight="1">
      <c r="A60" s="1"/>
      <c r="B60" s="142" t="str">
        <f>IF(37&lt;=IF(ISNUMBER($C$12),IF($C$12&gt;60,ROUNDUP($C$12/12,0),$C$12),-1),37,"")</f>
        <v/>
      </c>
      <c r="C60" s="145" t="str">
        <f t="shared" si="3"/>
        <v/>
      </c>
      <c r="D60" s="145" t="str">
        <f t="shared" si="4"/>
        <v/>
      </c>
      <c r="E60" s="1"/>
      <c r="F60" s="1"/>
      <c r="G60" s="1"/>
      <c r="H60" s="1"/>
      <c r="I60" s="1"/>
      <c r="J60" s="1"/>
      <c r="K60" s="1"/>
      <c r="L60" s="1"/>
      <c r="M60" s="1"/>
      <c r="N60" s="1"/>
      <c r="O60" s="1"/>
      <c r="P60" s="1"/>
      <c r="Q60" s="1"/>
      <c r="R60" s="1"/>
      <c r="S60" s="1"/>
      <c r="T60" s="1"/>
      <c r="U60" s="1"/>
      <c r="V60" s="1"/>
      <c r="W60" s="1"/>
      <c r="X60" s="1"/>
      <c r="Y60" s="1"/>
      <c r="Z60" s="1"/>
    </row>
    <row r="61" ht="15.75" customHeight="1">
      <c r="A61" s="1"/>
      <c r="B61" s="142" t="str">
        <f>IF(38&lt;=IF(ISNUMBER($C$12),IF($C$12&gt;60,ROUNDUP($C$12/12,0),$C$12),-1),38,"")</f>
        <v/>
      </c>
      <c r="C61" s="145" t="str">
        <f t="shared" si="3"/>
        <v/>
      </c>
      <c r="D61" s="145" t="str">
        <f t="shared" si="4"/>
        <v/>
      </c>
      <c r="E61" s="1"/>
      <c r="F61" s="1"/>
      <c r="G61" s="1"/>
      <c r="H61" s="1"/>
      <c r="I61" s="1"/>
      <c r="J61" s="1"/>
      <c r="K61" s="1"/>
      <c r="L61" s="1"/>
      <c r="M61" s="1"/>
      <c r="N61" s="1"/>
      <c r="O61" s="1"/>
      <c r="P61" s="1"/>
      <c r="Q61" s="1"/>
      <c r="R61" s="1"/>
      <c r="S61" s="1"/>
      <c r="T61" s="1"/>
      <c r="U61" s="1"/>
      <c r="V61" s="1"/>
      <c r="W61" s="1"/>
      <c r="X61" s="1"/>
      <c r="Y61" s="1"/>
      <c r="Z61" s="1"/>
    </row>
    <row r="62" ht="15.75" customHeight="1">
      <c r="A62" s="1"/>
      <c r="B62" s="142" t="str">
        <f>IF(39&lt;=IF(ISNUMBER($C$12),IF($C$12&gt;60,ROUNDUP($C$12/12,0),$C$12),-1),39,"")</f>
        <v/>
      </c>
      <c r="C62" s="145" t="str">
        <f t="shared" si="3"/>
        <v/>
      </c>
      <c r="D62" s="145" t="str">
        <f t="shared" si="4"/>
        <v/>
      </c>
      <c r="E62" s="1"/>
      <c r="F62" s="1"/>
      <c r="G62" s="1"/>
      <c r="H62" s="1"/>
      <c r="I62" s="1"/>
      <c r="J62" s="1"/>
      <c r="K62" s="1"/>
      <c r="L62" s="1"/>
      <c r="M62" s="1"/>
      <c r="N62" s="1"/>
      <c r="O62" s="1"/>
      <c r="P62" s="1"/>
      <c r="Q62" s="1"/>
      <c r="R62" s="1"/>
      <c r="S62" s="1"/>
      <c r="T62" s="1"/>
      <c r="U62" s="1"/>
      <c r="V62" s="1"/>
      <c r="W62" s="1"/>
      <c r="X62" s="1"/>
      <c r="Y62" s="1"/>
      <c r="Z62" s="1"/>
    </row>
    <row r="63" ht="15.75" customHeight="1">
      <c r="A63" s="1"/>
      <c r="B63" s="142" t="str">
        <f>IF(40&lt;=IF(ISNUMBER($C$12),IF($C$12&gt;60,ROUNDUP($C$12/12,0),$C$12),-1),40,"")</f>
        <v/>
      </c>
      <c r="C63" s="145" t="str">
        <f t="shared" si="3"/>
        <v/>
      </c>
      <c r="D63" s="145" t="str">
        <f t="shared" si="4"/>
        <v/>
      </c>
      <c r="E63" s="1"/>
      <c r="F63" s="1"/>
      <c r="G63" s="1"/>
      <c r="H63" s="1"/>
      <c r="I63" s="1"/>
      <c r="J63" s="1"/>
      <c r="K63" s="1"/>
      <c r="L63" s="1"/>
      <c r="M63" s="1"/>
      <c r="N63" s="1"/>
      <c r="O63" s="1"/>
      <c r="P63" s="1"/>
      <c r="Q63" s="1"/>
      <c r="R63" s="1"/>
      <c r="S63" s="1"/>
      <c r="T63" s="1"/>
      <c r="U63" s="1"/>
      <c r="V63" s="1"/>
      <c r="W63" s="1"/>
      <c r="X63" s="1"/>
      <c r="Y63" s="1"/>
      <c r="Z63" s="1"/>
    </row>
    <row r="64" ht="15.75" customHeight="1">
      <c r="A64" s="1"/>
      <c r="B64" s="142" t="str">
        <f>IF(41&lt;=IF(ISNUMBER($C$12),IF($C$12&gt;60,ROUNDUP($C$12/12,0),$C$12),-1),41,"")</f>
        <v/>
      </c>
      <c r="C64" s="145" t="str">
        <f t="shared" si="3"/>
        <v/>
      </c>
      <c r="D64" s="145" t="str">
        <f t="shared" si="4"/>
        <v/>
      </c>
      <c r="E64" s="1"/>
      <c r="F64" s="1"/>
      <c r="G64" s="1"/>
      <c r="H64" s="1"/>
      <c r="I64" s="1"/>
      <c r="J64" s="1"/>
      <c r="K64" s="1"/>
      <c r="L64" s="1"/>
      <c r="M64" s="1"/>
      <c r="N64" s="1"/>
      <c r="O64" s="1"/>
      <c r="P64" s="1"/>
      <c r="Q64" s="1"/>
      <c r="R64" s="1"/>
      <c r="S64" s="1"/>
      <c r="T64" s="1"/>
      <c r="U64" s="1"/>
      <c r="V64" s="1"/>
      <c r="W64" s="1"/>
      <c r="X64" s="1"/>
      <c r="Y64" s="1"/>
      <c r="Z64" s="1"/>
    </row>
    <row r="65" ht="15.75" customHeight="1">
      <c r="A65" s="1"/>
      <c r="B65" s="142" t="str">
        <f>IF(42&lt;=IF(ISNUMBER($C$12),IF($C$12&gt;60,ROUNDUP($C$12/12,0),$C$12),-1),42,"")</f>
        <v/>
      </c>
      <c r="C65" s="145" t="str">
        <f t="shared" si="3"/>
        <v/>
      </c>
      <c r="D65" s="145" t="str">
        <f t="shared" si="4"/>
        <v/>
      </c>
      <c r="E65" s="1"/>
      <c r="F65" s="1"/>
      <c r="G65" s="1"/>
      <c r="H65" s="1"/>
      <c r="I65" s="1"/>
      <c r="J65" s="1"/>
      <c r="K65" s="1"/>
      <c r="L65" s="1"/>
      <c r="M65" s="1"/>
      <c r="N65" s="1"/>
      <c r="O65" s="1"/>
      <c r="P65" s="1"/>
      <c r="Q65" s="1"/>
      <c r="R65" s="1"/>
      <c r="S65" s="1"/>
      <c r="T65" s="1"/>
      <c r="U65" s="1"/>
      <c r="V65" s="1"/>
      <c r="W65" s="1"/>
      <c r="X65" s="1"/>
      <c r="Y65" s="1"/>
      <c r="Z65" s="1"/>
    </row>
    <row r="66" ht="15.75" customHeight="1">
      <c r="A66" s="1"/>
      <c r="B66" s="142" t="str">
        <f>IF(43&lt;=IF(ISNUMBER($C$12),IF($C$12&gt;60,ROUNDUP($C$12/12,0),$C$12),-1),43,"")</f>
        <v/>
      </c>
      <c r="C66" s="145" t="str">
        <f t="shared" si="3"/>
        <v/>
      </c>
      <c r="D66" s="145" t="str">
        <f t="shared" si="4"/>
        <v/>
      </c>
      <c r="E66" s="1"/>
      <c r="F66" s="1"/>
      <c r="G66" s="1"/>
      <c r="H66" s="1"/>
      <c r="I66" s="1"/>
      <c r="J66" s="1"/>
      <c r="K66" s="1"/>
      <c r="L66" s="1"/>
      <c r="M66" s="1"/>
      <c r="N66" s="1"/>
      <c r="O66" s="1"/>
      <c r="P66" s="1"/>
      <c r="Q66" s="1"/>
      <c r="R66" s="1"/>
      <c r="S66" s="1"/>
      <c r="T66" s="1"/>
      <c r="U66" s="1"/>
      <c r="V66" s="1"/>
      <c r="W66" s="1"/>
      <c r="X66" s="1"/>
      <c r="Y66" s="1"/>
      <c r="Z66" s="1"/>
    </row>
    <row r="67" ht="15.75" customHeight="1">
      <c r="A67" s="1"/>
      <c r="B67" s="142" t="str">
        <f>IF(44&lt;=IF(ISNUMBER($C$12),IF($C$12&gt;60,ROUNDUP($C$12/12,0),$C$12),-1),44,"")</f>
        <v/>
      </c>
      <c r="C67" s="145" t="str">
        <f t="shared" si="3"/>
        <v/>
      </c>
      <c r="D67" s="145" t="str">
        <f t="shared" si="4"/>
        <v/>
      </c>
      <c r="E67" s="1"/>
      <c r="F67" s="1"/>
      <c r="G67" s="1"/>
      <c r="H67" s="1"/>
      <c r="I67" s="1"/>
      <c r="J67" s="1"/>
      <c r="K67" s="1"/>
      <c r="L67" s="1"/>
      <c r="M67" s="1"/>
      <c r="N67" s="1"/>
      <c r="O67" s="1"/>
      <c r="P67" s="1"/>
      <c r="Q67" s="1"/>
      <c r="R67" s="1"/>
      <c r="S67" s="1"/>
      <c r="T67" s="1"/>
      <c r="U67" s="1"/>
      <c r="V67" s="1"/>
      <c r="W67" s="1"/>
      <c r="X67" s="1"/>
      <c r="Y67" s="1"/>
      <c r="Z67" s="1"/>
    </row>
    <row r="68" ht="15.75" customHeight="1">
      <c r="A68" s="1"/>
      <c r="B68" s="142" t="str">
        <f>IF(45&lt;=IF(ISNUMBER($C$12),IF($C$12&gt;60,ROUNDUP($C$12/12,0),$C$12),-1),45,"")</f>
        <v/>
      </c>
      <c r="C68" s="145" t="str">
        <f t="shared" si="3"/>
        <v/>
      </c>
      <c r="D68" s="145" t="str">
        <f t="shared" si="4"/>
        <v/>
      </c>
      <c r="E68" s="1"/>
      <c r="F68" s="1"/>
      <c r="G68" s="1"/>
      <c r="H68" s="1"/>
      <c r="I68" s="1"/>
      <c r="J68" s="1"/>
      <c r="K68" s="1"/>
      <c r="L68" s="1"/>
      <c r="M68" s="1"/>
      <c r="N68" s="1"/>
      <c r="O68" s="1"/>
      <c r="P68" s="1"/>
      <c r="Q68" s="1"/>
      <c r="R68" s="1"/>
      <c r="S68" s="1"/>
      <c r="T68" s="1"/>
      <c r="U68" s="1"/>
      <c r="V68" s="1"/>
      <c r="W68" s="1"/>
      <c r="X68" s="1"/>
      <c r="Y68" s="1"/>
      <c r="Z68" s="1"/>
    </row>
    <row r="69" ht="15.75" customHeight="1">
      <c r="A69" s="1"/>
      <c r="B69" s="142" t="str">
        <f>IF(46&lt;=IF(ISNUMBER($C$12),IF($C$12&gt;60,ROUNDUP($C$12/12,0),$C$12),-1),46,"")</f>
        <v/>
      </c>
      <c r="C69" s="145" t="str">
        <f t="shared" si="3"/>
        <v/>
      </c>
      <c r="D69" s="145" t="str">
        <f t="shared" si="4"/>
        <v/>
      </c>
      <c r="E69" s="1"/>
      <c r="F69" s="1"/>
      <c r="G69" s="1"/>
      <c r="H69" s="1"/>
      <c r="I69" s="1"/>
      <c r="J69" s="1"/>
      <c r="K69" s="1"/>
      <c r="L69" s="1"/>
      <c r="M69" s="1"/>
      <c r="N69" s="1"/>
      <c r="O69" s="1"/>
      <c r="P69" s="1"/>
      <c r="Q69" s="1"/>
      <c r="R69" s="1"/>
      <c r="S69" s="1"/>
      <c r="T69" s="1"/>
      <c r="U69" s="1"/>
      <c r="V69" s="1"/>
      <c r="W69" s="1"/>
      <c r="X69" s="1"/>
      <c r="Y69" s="1"/>
      <c r="Z69" s="1"/>
    </row>
    <row r="70" ht="15.75" customHeight="1">
      <c r="A70" s="1"/>
      <c r="B70" s="142" t="str">
        <f>IF(47&lt;=IF(ISNUMBER($C$12),IF($C$12&gt;60,ROUNDUP($C$12/12,0),$C$12),-1),47,"")</f>
        <v/>
      </c>
      <c r="C70" s="145" t="str">
        <f t="shared" si="3"/>
        <v/>
      </c>
      <c r="D70" s="145" t="str">
        <f t="shared" si="4"/>
        <v/>
      </c>
      <c r="E70" s="1"/>
      <c r="F70" s="1"/>
      <c r="G70" s="1"/>
      <c r="H70" s="1"/>
      <c r="I70" s="1"/>
      <c r="J70" s="1"/>
      <c r="K70" s="1"/>
      <c r="L70" s="1"/>
      <c r="M70" s="1"/>
      <c r="N70" s="1"/>
      <c r="O70" s="1"/>
      <c r="P70" s="1"/>
      <c r="Q70" s="1"/>
      <c r="R70" s="1"/>
      <c r="S70" s="1"/>
      <c r="T70" s="1"/>
      <c r="U70" s="1"/>
      <c r="V70" s="1"/>
      <c r="W70" s="1"/>
      <c r="X70" s="1"/>
      <c r="Y70" s="1"/>
      <c r="Z70" s="1"/>
    </row>
    <row r="71" ht="15.75" customHeight="1">
      <c r="A71" s="1"/>
      <c r="B71" s="142" t="str">
        <f>IF(48&lt;=IF(ISNUMBER($C$12),IF($C$12&gt;60,ROUNDUP($C$12/12,0),$C$12),-1),48,"")</f>
        <v/>
      </c>
      <c r="C71" s="145" t="str">
        <f t="shared" si="3"/>
        <v/>
      </c>
      <c r="D71" s="145" t="str">
        <f t="shared" si="4"/>
        <v/>
      </c>
      <c r="E71" s="1"/>
      <c r="F71" s="1"/>
      <c r="G71" s="1"/>
      <c r="H71" s="1"/>
      <c r="I71" s="1"/>
      <c r="J71" s="1"/>
      <c r="K71" s="1"/>
      <c r="L71" s="1"/>
      <c r="M71" s="1"/>
      <c r="N71" s="1"/>
      <c r="O71" s="1"/>
      <c r="P71" s="1"/>
      <c r="Q71" s="1"/>
      <c r="R71" s="1"/>
      <c r="S71" s="1"/>
      <c r="T71" s="1"/>
      <c r="U71" s="1"/>
      <c r="V71" s="1"/>
      <c r="W71" s="1"/>
      <c r="X71" s="1"/>
      <c r="Y71" s="1"/>
      <c r="Z71" s="1"/>
    </row>
    <row r="72" ht="15.75" customHeight="1">
      <c r="A72" s="1"/>
      <c r="B72" s="142" t="str">
        <f>IF(49&lt;=IF(ISNUMBER($C$12),IF($C$12&gt;60,ROUNDUP($C$12/12,0),$C$12),-1),49,"")</f>
        <v/>
      </c>
      <c r="C72" s="145" t="str">
        <f t="shared" si="3"/>
        <v/>
      </c>
      <c r="D72" s="145" t="str">
        <f t="shared" si="4"/>
        <v/>
      </c>
      <c r="E72" s="1"/>
      <c r="F72" s="1"/>
      <c r="G72" s="1"/>
      <c r="H72" s="1"/>
      <c r="I72" s="1"/>
      <c r="J72" s="1"/>
      <c r="K72" s="1"/>
      <c r="L72" s="1"/>
      <c r="M72" s="1"/>
      <c r="N72" s="1"/>
      <c r="O72" s="1"/>
      <c r="P72" s="1"/>
      <c r="Q72" s="1"/>
      <c r="R72" s="1"/>
      <c r="S72" s="1"/>
      <c r="T72" s="1"/>
      <c r="U72" s="1"/>
      <c r="V72" s="1"/>
      <c r="W72" s="1"/>
      <c r="X72" s="1"/>
      <c r="Y72" s="1"/>
      <c r="Z72" s="1"/>
    </row>
    <row r="73" ht="15.75" customHeight="1">
      <c r="A73" s="1"/>
      <c r="B73" s="142" t="str">
        <f>IF(50&lt;=IF(ISNUMBER($C$12),IF($C$12&gt;60,ROUNDUP($C$12/12,0),$C$12),-1),50,"")</f>
        <v/>
      </c>
      <c r="C73" s="145" t="str">
        <f t="shared" si="3"/>
        <v/>
      </c>
      <c r="D73" s="145" t="str">
        <f t="shared" si="4"/>
        <v/>
      </c>
      <c r="E73" s="1"/>
      <c r="F73" s="1"/>
      <c r="G73" s="1"/>
      <c r="H73" s="1"/>
      <c r="I73" s="1"/>
      <c r="J73" s="1"/>
      <c r="K73" s="1"/>
      <c r="L73" s="1"/>
      <c r="M73" s="1"/>
      <c r="N73" s="1"/>
      <c r="O73" s="1"/>
      <c r="P73" s="1"/>
      <c r="Q73" s="1"/>
      <c r="R73" s="1"/>
      <c r="S73" s="1"/>
      <c r="T73" s="1"/>
      <c r="U73" s="1"/>
      <c r="V73" s="1"/>
      <c r="W73" s="1"/>
      <c r="X73" s="1"/>
      <c r="Y73" s="1"/>
      <c r="Z73" s="1"/>
    </row>
    <row r="74" ht="15.75" customHeight="1">
      <c r="A74" s="1"/>
      <c r="B74" s="142" t="str">
        <f>IF(51&lt;=IF(ISNUMBER($C$12),IF($C$12&gt;60,ROUNDUP($C$12/12,0),$C$12),-1),51,"")</f>
        <v/>
      </c>
      <c r="C74" s="145" t="str">
        <f t="shared" si="3"/>
        <v/>
      </c>
      <c r="D74" s="145" t="str">
        <f t="shared" si="4"/>
        <v/>
      </c>
      <c r="E74" s="1"/>
      <c r="F74" s="1"/>
      <c r="G74" s="1"/>
      <c r="H74" s="1"/>
      <c r="I74" s="1"/>
      <c r="J74" s="1"/>
      <c r="K74" s="1"/>
      <c r="L74" s="1"/>
      <c r="M74" s="1"/>
      <c r="N74" s="1"/>
      <c r="O74" s="1"/>
      <c r="P74" s="1"/>
      <c r="Q74" s="1"/>
      <c r="R74" s="1"/>
      <c r="S74" s="1"/>
      <c r="T74" s="1"/>
      <c r="U74" s="1"/>
      <c r="V74" s="1"/>
      <c r="W74" s="1"/>
      <c r="X74" s="1"/>
      <c r="Y74" s="1"/>
      <c r="Z74" s="1"/>
    </row>
    <row r="75" ht="15.75" customHeight="1">
      <c r="A75" s="1"/>
      <c r="B75" s="142" t="str">
        <f>IF(52&lt;=IF(ISNUMBER($C$12),IF($C$12&gt;60,ROUNDUP($C$12/12,0),$C$12),-1),52,"")</f>
        <v/>
      </c>
      <c r="C75" s="145" t="str">
        <f t="shared" si="3"/>
        <v/>
      </c>
      <c r="D75" s="145" t="str">
        <f t="shared" si="4"/>
        <v/>
      </c>
      <c r="E75" s="1"/>
      <c r="F75" s="1"/>
      <c r="G75" s="1"/>
      <c r="H75" s="1"/>
      <c r="I75" s="1"/>
      <c r="J75" s="1"/>
      <c r="K75" s="1"/>
      <c r="L75" s="1"/>
      <c r="M75" s="1"/>
      <c r="N75" s="1"/>
      <c r="O75" s="1"/>
      <c r="P75" s="1"/>
      <c r="Q75" s="1"/>
      <c r="R75" s="1"/>
      <c r="S75" s="1"/>
      <c r="T75" s="1"/>
      <c r="U75" s="1"/>
      <c r="V75" s="1"/>
      <c r="W75" s="1"/>
      <c r="X75" s="1"/>
      <c r="Y75" s="1"/>
      <c r="Z75" s="1"/>
    </row>
    <row r="76" ht="15.75" customHeight="1">
      <c r="A76" s="1"/>
      <c r="B76" s="142" t="str">
        <f>IF(53&lt;=IF(ISNUMBER($C$12),IF($C$12&gt;60,ROUNDUP($C$12/12,0),$C$12),-1),53,"")</f>
        <v/>
      </c>
      <c r="C76" s="145" t="str">
        <f t="shared" si="3"/>
        <v/>
      </c>
      <c r="D76" s="145" t="str">
        <f t="shared" si="4"/>
        <v/>
      </c>
      <c r="E76" s="1"/>
      <c r="F76" s="1"/>
      <c r="G76" s="1"/>
      <c r="H76" s="1"/>
      <c r="I76" s="1"/>
      <c r="J76" s="1"/>
      <c r="K76" s="1"/>
      <c r="L76" s="1"/>
      <c r="M76" s="1"/>
      <c r="N76" s="1"/>
      <c r="O76" s="1"/>
      <c r="P76" s="1"/>
      <c r="Q76" s="1"/>
      <c r="R76" s="1"/>
      <c r="S76" s="1"/>
      <c r="T76" s="1"/>
      <c r="U76" s="1"/>
      <c r="V76" s="1"/>
      <c r="W76" s="1"/>
      <c r="X76" s="1"/>
      <c r="Y76" s="1"/>
      <c r="Z76" s="1"/>
    </row>
    <row r="77" ht="15.75" customHeight="1">
      <c r="A77" s="1"/>
      <c r="B77" s="142" t="str">
        <f>IF(54&lt;=IF(ISNUMBER($C$12),IF($C$12&gt;60,ROUNDUP($C$12/12,0),$C$12),-1),54,"")</f>
        <v/>
      </c>
      <c r="C77" s="145" t="str">
        <f t="shared" si="3"/>
        <v/>
      </c>
      <c r="D77" s="145" t="str">
        <f t="shared" si="4"/>
        <v/>
      </c>
      <c r="E77" s="1"/>
      <c r="F77" s="1"/>
      <c r="G77" s="1"/>
      <c r="H77" s="1"/>
      <c r="I77" s="1"/>
      <c r="J77" s="1"/>
      <c r="K77" s="1"/>
      <c r="L77" s="1"/>
      <c r="M77" s="1"/>
      <c r="N77" s="1"/>
      <c r="O77" s="1"/>
      <c r="P77" s="1"/>
      <c r="Q77" s="1"/>
      <c r="R77" s="1"/>
      <c r="S77" s="1"/>
      <c r="T77" s="1"/>
      <c r="U77" s="1"/>
      <c r="V77" s="1"/>
      <c r="W77" s="1"/>
      <c r="X77" s="1"/>
      <c r="Y77" s="1"/>
      <c r="Z77" s="1"/>
    </row>
    <row r="78" ht="15.75" customHeight="1">
      <c r="A78" s="1"/>
      <c r="B78" s="142" t="str">
        <f>IF(55&lt;=IF(ISNUMBER($C$12),IF($C$12&gt;60,ROUNDUP($C$12/12,0),$C$12),-1),55,"")</f>
        <v/>
      </c>
      <c r="C78" s="145" t="str">
        <f t="shared" si="3"/>
        <v/>
      </c>
      <c r="D78" s="145" t="str">
        <f t="shared" si="4"/>
        <v/>
      </c>
      <c r="E78" s="1"/>
      <c r="F78" s="1"/>
      <c r="G78" s="1"/>
      <c r="H78" s="1"/>
      <c r="I78" s="1"/>
      <c r="J78" s="1"/>
      <c r="K78" s="1"/>
      <c r="L78" s="1"/>
      <c r="M78" s="1"/>
      <c r="N78" s="1"/>
      <c r="O78" s="1"/>
      <c r="P78" s="1"/>
      <c r="Q78" s="1"/>
      <c r="R78" s="1"/>
      <c r="S78" s="1"/>
      <c r="T78" s="1"/>
      <c r="U78" s="1"/>
      <c r="V78" s="1"/>
      <c r="W78" s="1"/>
      <c r="X78" s="1"/>
      <c r="Y78" s="1"/>
      <c r="Z78" s="1"/>
    </row>
    <row r="79" ht="15.75" customHeight="1">
      <c r="A79" s="1"/>
      <c r="B79" s="142" t="str">
        <f>IF(56&lt;=IF(ISNUMBER($C$12),IF($C$12&gt;60,ROUNDUP($C$12/12,0),$C$12),-1),56,"")</f>
        <v/>
      </c>
      <c r="C79" s="145" t="str">
        <f t="shared" si="3"/>
        <v/>
      </c>
      <c r="D79" s="145" t="str">
        <f t="shared" si="4"/>
        <v/>
      </c>
      <c r="E79" s="1"/>
      <c r="F79" s="1"/>
      <c r="G79" s="1"/>
      <c r="H79" s="1"/>
      <c r="I79" s="1"/>
      <c r="J79" s="1"/>
      <c r="K79" s="1"/>
      <c r="L79" s="1"/>
      <c r="M79" s="1"/>
      <c r="N79" s="1"/>
      <c r="O79" s="1"/>
      <c r="P79" s="1"/>
      <c r="Q79" s="1"/>
      <c r="R79" s="1"/>
      <c r="S79" s="1"/>
      <c r="T79" s="1"/>
      <c r="U79" s="1"/>
      <c r="V79" s="1"/>
      <c r="W79" s="1"/>
      <c r="X79" s="1"/>
      <c r="Y79" s="1"/>
      <c r="Z79" s="1"/>
    </row>
    <row r="80" ht="15.75" customHeight="1">
      <c r="A80" s="1"/>
      <c r="B80" s="142" t="str">
        <f>IF(57&lt;=IF(ISNUMBER($C$12),IF($C$12&gt;60,ROUNDUP($C$12/12,0),$C$12),-1),57,"")</f>
        <v/>
      </c>
      <c r="C80" s="145" t="str">
        <f t="shared" si="3"/>
        <v/>
      </c>
      <c r="D80" s="145" t="str">
        <f t="shared" si="4"/>
        <v/>
      </c>
      <c r="E80" s="1"/>
      <c r="F80" s="1"/>
      <c r="G80" s="1"/>
      <c r="H80" s="1"/>
      <c r="I80" s="1"/>
      <c r="J80" s="1"/>
      <c r="K80" s="1"/>
      <c r="L80" s="1"/>
      <c r="M80" s="1"/>
      <c r="N80" s="1"/>
      <c r="O80" s="1"/>
      <c r="P80" s="1"/>
      <c r="Q80" s="1"/>
      <c r="R80" s="1"/>
      <c r="S80" s="1"/>
      <c r="T80" s="1"/>
      <c r="U80" s="1"/>
      <c r="V80" s="1"/>
      <c r="W80" s="1"/>
      <c r="X80" s="1"/>
      <c r="Y80" s="1"/>
      <c r="Z80" s="1"/>
    </row>
    <row r="81" ht="15.75" customHeight="1">
      <c r="A81" s="1"/>
      <c r="B81" s="142" t="str">
        <f>IF(58&lt;=IF(ISNUMBER($C$12),IF($C$12&gt;60,ROUNDUP($C$12/12,0),$C$12),-1),58,"")</f>
        <v/>
      </c>
      <c r="C81" s="145" t="str">
        <f t="shared" si="3"/>
        <v/>
      </c>
      <c r="D81" s="145" t="str">
        <f t="shared" si="4"/>
        <v/>
      </c>
      <c r="E81" s="1"/>
      <c r="F81" s="1"/>
      <c r="G81" s="1"/>
      <c r="H81" s="1"/>
      <c r="I81" s="1"/>
      <c r="J81" s="1"/>
      <c r="K81" s="1"/>
      <c r="L81" s="1"/>
      <c r="M81" s="1"/>
      <c r="N81" s="1"/>
      <c r="O81" s="1"/>
      <c r="P81" s="1"/>
      <c r="Q81" s="1"/>
      <c r="R81" s="1"/>
      <c r="S81" s="1"/>
      <c r="T81" s="1"/>
      <c r="U81" s="1"/>
      <c r="V81" s="1"/>
      <c r="W81" s="1"/>
      <c r="X81" s="1"/>
      <c r="Y81" s="1"/>
      <c r="Z81" s="1"/>
    </row>
    <row r="82" ht="15.75" customHeight="1">
      <c r="A82" s="1"/>
      <c r="B82" s="142" t="str">
        <f>IF(59&lt;=IF(ISNUMBER($C$12),IF($C$12&gt;60,ROUNDUP($C$12/12,0),$C$12),-1),59,"")</f>
        <v/>
      </c>
      <c r="C82" s="145" t="str">
        <f t="shared" si="3"/>
        <v/>
      </c>
      <c r="D82" s="145" t="str">
        <f t="shared" si="4"/>
        <v/>
      </c>
      <c r="E82" s="1"/>
      <c r="F82" s="1"/>
      <c r="G82" s="1"/>
      <c r="H82" s="1"/>
      <c r="I82" s="1"/>
      <c r="J82" s="1"/>
      <c r="K82" s="1"/>
      <c r="L82" s="1"/>
      <c r="M82" s="1"/>
      <c r="N82" s="1"/>
      <c r="O82" s="1"/>
      <c r="P82" s="1"/>
      <c r="Q82" s="1"/>
      <c r="R82" s="1"/>
      <c r="S82" s="1"/>
      <c r="T82" s="1"/>
      <c r="U82" s="1"/>
      <c r="V82" s="1"/>
      <c r="W82" s="1"/>
      <c r="X82" s="1"/>
      <c r="Y82" s="1"/>
      <c r="Z82" s="1"/>
    </row>
    <row r="83" ht="15.75" customHeight="1">
      <c r="A83" s="1"/>
      <c r="B83" s="142" t="str">
        <f>IF(60&lt;=IF(ISNUMBER($C$12),IF($C$12&gt;60,ROUNDUP($C$12/12,0),$C$12),-1),60,"")</f>
        <v/>
      </c>
      <c r="C83" s="145" t="str">
        <f t="shared" si="3"/>
        <v/>
      </c>
      <c r="D83" s="145" t="str">
        <f t="shared" si="4"/>
        <v/>
      </c>
      <c r="E83" s="1"/>
      <c r="F83" s="1"/>
      <c r="G83" s="1"/>
      <c r="H83" s="1"/>
      <c r="I83" s="1"/>
      <c r="J83" s="1"/>
      <c r="K83" s="1"/>
      <c r="L83" s="1"/>
      <c r="M83" s="1"/>
      <c r="N83" s="1"/>
      <c r="O83" s="1"/>
      <c r="P83" s="1"/>
      <c r="Q83" s="1"/>
      <c r="R83" s="1"/>
      <c r="S83" s="1"/>
      <c r="T83" s="1"/>
      <c r="U83" s="1"/>
      <c r="V83" s="1"/>
      <c r="W83" s="1"/>
      <c r="X83" s="1"/>
      <c r="Y83" s="1"/>
      <c r="Z83" s="1"/>
    </row>
    <row r="84" ht="15.75" customHeight="1">
      <c r="A84" s="1"/>
      <c r="C84" s="186" t="str">
        <f t="shared" si="3"/>
        <v/>
      </c>
      <c r="D84" s="186" t="str">
        <f t="shared" si="4"/>
        <v/>
      </c>
      <c r="E84" s="1"/>
      <c r="F84" s="1"/>
      <c r="G84" s="1"/>
      <c r="H84" s="1"/>
      <c r="I84" s="1"/>
      <c r="J84" s="1"/>
      <c r="K84" s="1"/>
      <c r="L84" s="1"/>
      <c r="M84" s="1"/>
      <c r="N84" s="1"/>
      <c r="O84" s="1"/>
      <c r="P84" s="1"/>
      <c r="Q84" s="1"/>
      <c r="R84" s="1"/>
      <c r="S84" s="1"/>
      <c r="T84" s="1"/>
      <c r="U84" s="1"/>
      <c r="V84" s="1"/>
      <c r="W84" s="1"/>
      <c r="X84" s="1"/>
      <c r="Y84" s="1"/>
      <c r="Z84" s="1"/>
    </row>
    <row r="85" ht="15.75" customHeight="1">
      <c r="A85" s="1"/>
      <c r="C85" s="186" t="str">
        <f t="shared" si="3"/>
        <v/>
      </c>
      <c r="D85" s="186" t="str">
        <f t="shared" si="4"/>
        <v/>
      </c>
      <c r="E85" s="1"/>
      <c r="F85" s="1"/>
      <c r="G85" s="1"/>
      <c r="H85" s="1"/>
      <c r="I85" s="1"/>
      <c r="J85" s="1"/>
      <c r="K85" s="1"/>
      <c r="L85" s="1"/>
      <c r="M85" s="1"/>
      <c r="N85" s="1"/>
      <c r="O85" s="1"/>
      <c r="P85" s="1"/>
      <c r="Q85" s="1"/>
      <c r="R85" s="1"/>
      <c r="S85" s="1"/>
      <c r="T85" s="1"/>
      <c r="U85" s="1"/>
      <c r="V85" s="1"/>
      <c r="W85" s="1"/>
      <c r="X85" s="1"/>
      <c r="Y85" s="1"/>
      <c r="Z85" s="1"/>
    </row>
    <row r="86" ht="15.75" hidden="1" customHeight="1">
      <c r="A86" s="1"/>
      <c r="C86" s="186" t="str">
        <f t="shared" si="3"/>
        <v/>
      </c>
      <c r="D86" s="186" t="str">
        <f t="shared" si="4"/>
        <v/>
      </c>
      <c r="E86" s="1"/>
      <c r="F86" s="1"/>
      <c r="G86" s="1"/>
      <c r="H86" s="1"/>
      <c r="I86" s="1"/>
      <c r="J86" s="1"/>
      <c r="K86" s="1"/>
      <c r="L86" s="1"/>
      <c r="M86" s="1"/>
      <c r="N86" s="1"/>
      <c r="O86" s="1"/>
      <c r="P86" s="1"/>
      <c r="Q86" s="1"/>
      <c r="R86" s="1"/>
      <c r="S86" s="1"/>
      <c r="T86" s="1"/>
      <c r="U86" s="1"/>
      <c r="V86" s="1"/>
      <c r="W86" s="1"/>
      <c r="X86" s="1"/>
      <c r="Y86" s="1"/>
      <c r="Z86" s="1"/>
    </row>
    <row r="87" ht="15.75" hidden="1" customHeight="1">
      <c r="A87" s="1"/>
      <c r="C87" s="186" t="str">
        <f t="shared" si="3"/>
        <v/>
      </c>
      <c r="D87" s="186" t="str">
        <f t="shared" si="4"/>
        <v/>
      </c>
      <c r="E87" s="1"/>
      <c r="F87" s="1"/>
      <c r="G87" s="1"/>
      <c r="H87" s="1"/>
      <c r="I87" s="1"/>
      <c r="J87" s="1"/>
      <c r="K87" s="1"/>
      <c r="L87" s="1"/>
      <c r="M87" s="1"/>
      <c r="N87" s="1"/>
      <c r="O87" s="1"/>
      <c r="P87" s="1"/>
      <c r="Q87" s="1"/>
      <c r="R87" s="1"/>
      <c r="S87" s="1"/>
      <c r="T87" s="1"/>
      <c r="U87" s="1"/>
      <c r="V87" s="1"/>
      <c r="W87" s="1"/>
      <c r="X87" s="1"/>
      <c r="Y87" s="1"/>
      <c r="Z87" s="1"/>
    </row>
    <row r="88" ht="15.75" hidden="1" customHeight="1">
      <c r="A88" s="1"/>
      <c r="C88" s="186" t="str">
        <f t="shared" si="3"/>
        <v/>
      </c>
      <c r="D88" s="186" t="str">
        <f t="shared" si="4"/>
        <v/>
      </c>
      <c r="E88" s="1"/>
      <c r="F88" s="1"/>
      <c r="G88" s="1"/>
      <c r="H88" s="1"/>
      <c r="I88" s="1"/>
      <c r="J88" s="1"/>
      <c r="K88" s="1"/>
      <c r="L88" s="1"/>
      <c r="M88" s="1"/>
      <c r="N88" s="1"/>
      <c r="O88" s="1"/>
      <c r="P88" s="1"/>
      <c r="Q88" s="1"/>
      <c r="R88" s="1"/>
      <c r="S88" s="1"/>
      <c r="T88" s="1"/>
      <c r="U88" s="1"/>
      <c r="V88" s="1"/>
      <c r="W88" s="1"/>
      <c r="X88" s="1"/>
      <c r="Y88" s="1"/>
      <c r="Z88" s="1"/>
    </row>
    <row r="89" ht="15.75" hidden="1" customHeight="1">
      <c r="A89" s="1"/>
      <c r="C89" s="186" t="str">
        <f t="shared" si="3"/>
        <v/>
      </c>
      <c r="D89" s="186" t="str">
        <f t="shared" si="4"/>
        <v/>
      </c>
      <c r="E89" s="1"/>
      <c r="F89" s="1"/>
      <c r="G89" s="1"/>
      <c r="H89" s="1"/>
      <c r="I89" s="1"/>
      <c r="J89" s="1"/>
      <c r="K89" s="1"/>
      <c r="L89" s="1"/>
      <c r="M89" s="1"/>
      <c r="N89" s="1"/>
      <c r="O89" s="1"/>
      <c r="P89" s="1"/>
      <c r="Q89" s="1"/>
      <c r="R89" s="1"/>
      <c r="S89" s="1"/>
      <c r="T89" s="1"/>
      <c r="U89" s="1"/>
      <c r="V89" s="1"/>
      <c r="W89" s="1"/>
      <c r="X89" s="1"/>
      <c r="Y89" s="1"/>
      <c r="Z89" s="1"/>
    </row>
    <row r="90" ht="15.75" hidden="1" customHeight="1">
      <c r="A90" s="1"/>
      <c r="C90" s="186" t="str">
        <f t="shared" si="3"/>
        <v/>
      </c>
      <c r="D90" s="186" t="str">
        <f t="shared" si="4"/>
        <v/>
      </c>
      <c r="E90" s="1"/>
      <c r="F90" s="1"/>
      <c r="G90" s="1"/>
      <c r="H90" s="1"/>
      <c r="I90" s="1"/>
      <c r="J90" s="1"/>
      <c r="K90" s="1"/>
      <c r="L90" s="1"/>
      <c r="M90" s="1"/>
      <c r="N90" s="1"/>
      <c r="O90" s="1"/>
      <c r="P90" s="1"/>
      <c r="Q90" s="1"/>
      <c r="R90" s="1"/>
      <c r="S90" s="1"/>
      <c r="T90" s="1"/>
      <c r="U90" s="1"/>
      <c r="V90" s="1"/>
      <c r="W90" s="1"/>
      <c r="X90" s="1"/>
      <c r="Y90" s="1"/>
      <c r="Z90" s="1"/>
    </row>
    <row r="91" ht="15.75" hidden="1" customHeight="1">
      <c r="A91" s="1"/>
      <c r="C91" s="186" t="str">
        <f t="shared" si="3"/>
        <v/>
      </c>
      <c r="D91" s="186" t="str">
        <f t="shared" si="4"/>
        <v/>
      </c>
      <c r="E91" s="1"/>
      <c r="F91" s="1"/>
      <c r="G91" s="1"/>
      <c r="H91" s="1"/>
      <c r="I91" s="1"/>
      <c r="J91" s="1"/>
      <c r="K91" s="1"/>
      <c r="L91" s="1"/>
      <c r="M91" s="1"/>
      <c r="N91" s="1"/>
      <c r="O91" s="1"/>
      <c r="P91" s="1"/>
      <c r="Q91" s="1"/>
      <c r="R91" s="1"/>
      <c r="S91" s="1"/>
      <c r="T91" s="1"/>
      <c r="U91" s="1"/>
      <c r="V91" s="1"/>
      <c r="W91" s="1"/>
      <c r="X91" s="1"/>
      <c r="Y91" s="1"/>
      <c r="Z91" s="1"/>
    </row>
    <row r="92" ht="15.75" hidden="1" customHeight="1">
      <c r="A92" s="1"/>
      <c r="C92" s="186" t="str">
        <f t="shared" si="3"/>
        <v/>
      </c>
      <c r="D92" s="186" t="str">
        <f t="shared" si="4"/>
        <v/>
      </c>
      <c r="E92" s="1"/>
      <c r="F92" s="1"/>
      <c r="G92" s="1"/>
      <c r="H92" s="1"/>
      <c r="I92" s="1"/>
      <c r="J92" s="1"/>
      <c r="K92" s="1"/>
      <c r="L92" s="1"/>
      <c r="M92" s="1"/>
      <c r="N92" s="1"/>
      <c r="O92" s="1"/>
      <c r="P92" s="1"/>
      <c r="Q92" s="1"/>
      <c r="R92" s="1"/>
      <c r="S92" s="1"/>
      <c r="T92" s="1"/>
      <c r="U92" s="1"/>
      <c r="V92" s="1"/>
      <c r="W92" s="1"/>
      <c r="X92" s="1"/>
      <c r="Y92" s="1"/>
      <c r="Z92" s="1"/>
    </row>
    <row r="93" ht="15.75" hidden="1" customHeight="1">
      <c r="A93" s="1"/>
      <c r="C93" s="186" t="str">
        <f t="shared" si="3"/>
        <v/>
      </c>
      <c r="D93" s="186" t="str">
        <f t="shared" si="4"/>
        <v/>
      </c>
      <c r="E93" s="1"/>
      <c r="F93" s="1"/>
      <c r="G93" s="1"/>
      <c r="H93" s="1"/>
      <c r="I93" s="1"/>
      <c r="J93" s="1"/>
      <c r="K93" s="1"/>
      <c r="L93" s="1"/>
      <c r="M93" s="1"/>
      <c r="N93" s="1"/>
      <c r="O93" s="1"/>
      <c r="P93" s="1"/>
      <c r="Q93" s="1"/>
      <c r="R93" s="1"/>
      <c r="S93" s="1"/>
      <c r="T93" s="1"/>
      <c r="U93" s="1"/>
      <c r="V93" s="1"/>
      <c r="W93" s="1"/>
      <c r="X93" s="1"/>
      <c r="Y93" s="1"/>
      <c r="Z93" s="1"/>
    </row>
    <row r="94" ht="15.75" hidden="1" customHeight="1">
      <c r="A94" s="1"/>
      <c r="C94" s="186" t="str">
        <f t="shared" si="3"/>
        <v/>
      </c>
      <c r="D94" s="186" t="str">
        <f t="shared" si="4"/>
        <v/>
      </c>
      <c r="E94" s="1"/>
      <c r="F94" s="1"/>
      <c r="G94" s="1"/>
      <c r="H94" s="1"/>
      <c r="I94" s="1"/>
      <c r="J94" s="1"/>
      <c r="K94" s="1"/>
      <c r="L94" s="1"/>
      <c r="M94" s="1"/>
      <c r="N94" s="1"/>
      <c r="O94" s="1"/>
      <c r="P94" s="1"/>
      <c r="Q94" s="1"/>
      <c r="R94" s="1"/>
      <c r="S94" s="1"/>
      <c r="T94" s="1"/>
      <c r="U94" s="1"/>
      <c r="V94" s="1"/>
      <c r="W94" s="1"/>
      <c r="X94" s="1"/>
      <c r="Y94" s="1"/>
      <c r="Z94" s="1"/>
    </row>
    <row r="95" ht="15.75" hidden="1" customHeight="1">
      <c r="A95" s="1"/>
      <c r="C95" s="186" t="str">
        <f t="shared" si="3"/>
        <v/>
      </c>
      <c r="D95" s="186" t="str">
        <f t="shared" si="4"/>
        <v/>
      </c>
      <c r="E95" s="1"/>
      <c r="F95" s="1"/>
      <c r="G95" s="1"/>
      <c r="H95" s="1"/>
      <c r="I95" s="1"/>
      <c r="J95" s="1"/>
      <c r="K95" s="1"/>
      <c r="L95" s="1"/>
      <c r="M95" s="1"/>
      <c r="N95" s="1"/>
      <c r="O95" s="1"/>
      <c r="P95" s="1"/>
      <c r="Q95" s="1"/>
      <c r="R95" s="1"/>
      <c r="S95" s="1"/>
      <c r="T95" s="1"/>
      <c r="U95" s="1"/>
      <c r="V95" s="1"/>
      <c r="W95" s="1"/>
      <c r="X95" s="1"/>
      <c r="Y95" s="1"/>
      <c r="Z95" s="1"/>
    </row>
    <row r="96" ht="15.75" hidden="1" customHeight="1">
      <c r="A96" s="1"/>
      <c r="C96" s="186" t="str">
        <f t="shared" si="3"/>
        <v/>
      </c>
      <c r="D96" s="186" t="str">
        <f t="shared" si="4"/>
        <v/>
      </c>
      <c r="E96" s="1"/>
      <c r="F96" s="1"/>
      <c r="G96" s="1"/>
      <c r="H96" s="1"/>
      <c r="I96" s="1"/>
      <c r="J96" s="1"/>
      <c r="K96" s="1"/>
      <c r="L96" s="1"/>
      <c r="M96" s="1"/>
      <c r="N96" s="1"/>
      <c r="O96" s="1"/>
      <c r="P96" s="1"/>
      <c r="Q96" s="1"/>
      <c r="R96" s="1"/>
      <c r="S96" s="1"/>
      <c r="T96" s="1"/>
      <c r="U96" s="1"/>
      <c r="V96" s="1"/>
      <c r="W96" s="1"/>
      <c r="X96" s="1"/>
      <c r="Y96" s="1"/>
      <c r="Z96" s="1"/>
    </row>
    <row r="97" ht="15.75" hidden="1" customHeight="1">
      <c r="A97" s="1"/>
      <c r="C97" s="186" t="str">
        <f t="shared" si="3"/>
        <v/>
      </c>
      <c r="D97" s="186" t="str">
        <f t="shared" si="4"/>
        <v/>
      </c>
      <c r="E97" s="1"/>
      <c r="F97" s="1"/>
      <c r="G97" s="1"/>
      <c r="H97" s="1"/>
      <c r="I97" s="1"/>
      <c r="J97" s="1"/>
      <c r="K97" s="1"/>
      <c r="L97" s="1"/>
      <c r="M97" s="1"/>
      <c r="N97" s="1"/>
      <c r="O97" s="1"/>
      <c r="P97" s="1"/>
      <c r="Q97" s="1"/>
      <c r="R97" s="1"/>
      <c r="S97" s="1"/>
      <c r="T97" s="1"/>
      <c r="U97" s="1"/>
      <c r="V97" s="1"/>
      <c r="W97" s="1"/>
      <c r="X97" s="1"/>
      <c r="Y97" s="1"/>
      <c r="Z97" s="1"/>
    </row>
    <row r="98" ht="15.75" hidden="1" customHeight="1">
      <c r="A98" s="1"/>
      <c r="C98" s="186" t="str">
        <f t="shared" si="3"/>
        <v/>
      </c>
      <c r="D98" s="186" t="str">
        <f t="shared" si="4"/>
        <v/>
      </c>
      <c r="E98" s="1"/>
      <c r="F98" s="1"/>
      <c r="G98" s="1"/>
      <c r="H98" s="1"/>
      <c r="I98" s="1"/>
      <c r="J98" s="1"/>
      <c r="K98" s="1"/>
      <c r="L98" s="1"/>
      <c r="M98" s="1"/>
      <c r="N98" s="1"/>
      <c r="O98" s="1"/>
      <c r="P98" s="1"/>
      <c r="Q98" s="1"/>
      <c r="R98" s="1"/>
      <c r="S98" s="1"/>
      <c r="T98" s="1"/>
      <c r="U98" s="1"/>
      <c r="V98" s="1"/>
      <c r="W98" s="1"/>
      <c r="X98" s="1"/>
      <c r="Y98" s="1"/>
      <c r="Z98" s="1"/>
    </row>
    <row r="99" ht="15.75" hidden="1" customHeight="1">
      <c r="A99" s="1"/>
      <c r="C99" s="186" t="str">
        <f t="shared" si="3"/>
        <v/>
      </c>
      <c r="D99" s="186" t="str">
        <f t="shared" si="4"/>
        <v/>
      </c>
      <c r="E99" s="1"/>
      <c r="F99" s="1"/>
      <c r="G99" s="1"/>
      <c r="H99" s="1"/>
      <c r="I99" s="1"/>
      <c r="J99" s="1"/>
      <c r="K99" s="1"/>
      <c r="L99" s="1"/>
      <c r="M99" s="1"/>
      <c r="N99" s="1"/>
      <c r="O99" s="1"/>
      <c r="P99" s="1"/>
      <c r="Q99" s="1"/>
      <c r="R99" s="1"/>
      <c r="S99" s="1"/>
      <c r="T99" s="1"/>
      <c r="U99" s="1"/>
      <c r="V99" s="1"/>
      <c r="W99" s="1"/>
      <c r="X99" s="1"/>
      <c r="Y99" s="1"/>
      <c r="Z99" s="1"/>
    </row>
    <row r="100" ht="15.75" hidden="1" customHeight="1">
      <c r="A100" s="1"/>
      <c r="C100" s="186" t="str">
        <f t="shared" si="3"/>
        <v/>
      </c>
      <c r="D100" s="186" t="str">
        <f t="shared" si="4"/>
        <v/>
      </c>
      <c r="E100" s="1"/>
      <c r="F100" s="1"/>
      <c r="G100" s="1"/>
      <c r="H100" s="1"/>
      <c r="I100" s="1"/>
      <c r="J100" s="1"/>
      <c r="K100" s="1"/>
      <c r="L100" s="1"/>
      <c r="M100" s="1"/>
      <c r="N100" s="1"/>
      <c r="O100" s="1"/>
      <c r="P100" s="1"/>
      <c r="Q100" s="1"/>
      <c r="R100" s="1"/>
      <c r="S100" s="1"/>
      <c r="T100" s="1"/>
      <c r="U100" s="1"/>
      <c r="V100" s="1"/>
      <c r="W100" s="1"/>
      <c r="X100" s="1"/>
      <c r="Y100" s="1"/>
      <c r="Z100" s="1"/>
    </row>
    <row r="101" ht="15.75" hidden="1" customHeight="1">
      <c r="A101" s="1"/>
      <c r="C101" s="186" t="str">
        <f t="shared" si="3"/>
        <v/>
      </c>
      <c r="D101" s="186" t="str">
        <f t="shared" si="4"/>
        <v/>
      </c>
      <c r="E101" s="1"/>
      <c r="F101" s="1"/>
      <c r="G101" s="1"/>
      <c r="H101" s="1"/>
      <c r="I101" s="1"/>
      <c r="J101" s="1"/>
      <c r="K101" s="1"/>
      <c r="L101" s="1"/>
      <c r="M101" s="1"/>
      <c r="N101" s="1"/>
      <c r="O101" s="1"/>
      <c r="P101" s="1"/>
      <c r="Q101" s="1"/>
      <c r="R101" s="1"/>
      <c r="S101" s="1"/>
      <c r="T101" s="1"/>
      <c r="U101" s="1"/>
      <c r="V101" s="1"/>
      <c r="W101" s="1"/>
      <c r="X101" s="1"/>
      <c r="Y101" s="1"/>
      <c r="Z101" s="1"/>
    </row>
    <row r="102" ht="15.75" hidden="1" customHeight="1">
      <c r="A102" s="1"/>
      <c r="C102" s="186" t="str">
        <f t="shared" si="3"/>
        <v/>
      </c>
      <c r="D102" s="186" t="str">
        <f t="shared" si="4"/>
        <v/>
      </c>
      <c r="E102" s="1"/>
      <c r="F102" s="1"/>
      <c r="G102" s="1"/>
      <c r="H102" s="1"/>
      <c r="I102" s="1"/>
      <c r="J102" s="1"/>
      <c r="K102" s="1"/>
      <c r="L102" s="1"/>
      <c r="M102" s="1"/>
      <c r="N102" s="1"/>
      <c r="O102" s="1"/>
      <c r="P102" s="1"/>
      <c r="Q102" s="1"/>
      <c r="R102" s="1"/>
      <c r="S102" s="1"/>
      <c r="T102" s="1"/>
      <c r="U102" s="1"/>
      <c r="V102" s="1"/>
      <c r="W102" s="1"/>
      <c r="X102" s="1"/>
      <c r="Y102" s="1"/>
      <c r="Z102" s="1"/>
    </row>
    <row r="103" ht="15.75" hidden="1" customHeight="1">
      <c r="A103" s="1"/>
      <c r="C103" s="186" t="str">
        <f t="shared" si="3"/>
        <v/>
      </c>
      <c r="D103" s="186" t="str">
        <f t="shared" si="4"/>
        <v/>
      </c>
      <c r="E103" s="1"/>
      <c r="F103" s="1"/>
      <c r="G103" s="1"/>
      <c r="H103" s="1"/>
      <c r="I103" s="1"/>
      <c r="J103" s="1"/>
      <c r="K103" s="1"/>
      <c r="L103" s="1"/>
      <c r="M103" s="1"/>
      <c r="N103" s="1"/>
      <c r="O103" s="1"/>
      <c r="P103" s="1"/>
      <c r="Q103" s="1"/>
      <c r="R103" s="1"/>
      <c r="S103" s="1"/>
      <c r="T103" s="1"/>
      <c r="U103" s="1"/>
      <c r="V103" s="1"/>
      <c r="W103" s="1"/>
      <c r="X103" s="1"/>
      <c r="Y103" s="1"/>
      <c r="Z103" s="1"/>
    </row>
    <row r="104" ht="15.75" hidden="1" customHeight="1">
      <c r="A104" s="1"/>
      <c r="C104" s="186" t="str">
        <f t="shared" si="3"/>
        <v/>
      </c>
      <c r="D104" s="186" t="str">
        <f t="shared" si="4"/>
        <v/>
      </c>
      <c r="E104" s="1"/>
      <c r="F104" s="1"/>
      <c r="G104" s="1"/>
      <c r="H104" s="1"/>
      <c r="I104" s="1"/>
      <c r="J104" s="1"/>
      <c r="K104" s="1"/>
      <c r="L104" s="1"/>
      <c r="M104" s="1"/>
      <c r="N104" s="1"/>
      <c r="O104" s="1"/>
      <c r="P104" s="1"/>
      <c r="Q104" s="1"/>
      <c r="R104" s="1"/>
      <c r="S104" s="1"/>
      <c r="T104" s="1"/>
      <c r="U104" s="1"/>
      <c r="V104" s="1"/>
      <c r="W104" s="1"/>
      <c r="X104" s="1"/>
      <c r="Y104" s="1"/>
      <c r="Z104" s="1"/>
    </row>
    <row r="105" ht="15.75" hidden="1" customHeight="1">
      <c r="A105" s="1"/>
      <c r="C105" s="186" t="str">
        <f t="shared" si="3"/>
        <v/>
      </c>
      <c r="D105" s="186" t="str">
        <f t="shared" si="4"/>
        <v/>
      </c>
      <c r="E105" s="1"/>
      <c r="F105" s="1"/>
      <c r="G105" s="1"/>
      <c r="H105" s="1"/>
      <c r="I105" s="1"/>
      <c r="J105" s="1"/>
      <c r="K105" s="1"/>
      <c r="L105" s="1"/>
      <c r="M105" s="1"/>
      <c r="N105" s="1"/>
      <c r="O105" s="1"/>
      <c r="P105" s="1"/>
      <c r="Q105" s="1"/>
      <c r="R105" s="1"/>
      <c r="S105" s="1"/>
      <c r="T105" s="1"/>
      <c r="U105" s="1"/>
      <c r="V105" s="1"/>
      <c r="W105" s="1"/>
      <c r="X105" s="1"/>
      <c r="Y105" s="1"/>
      <c r="Z105" s="1"/>
    </row>
    <row r="106" ht="15.75" hidden="1" customHeight="1">
      <c r="A106" s="1"/>
      <c r="C106" s="186" t="str">
        <f t="shared" si="3"/>
        <v/>
      </c>
      <c r="D106" s="186" t="str">
        <f t="shared" si="4"/>
        <v/>
      </c>
      <c r="E106" s="1"/>
      <c r="F106" s="1"/>
      <c r="G106" s="1"/>
      <c r="H106" s="1"/>
      <c r="I106" s="1"/>
      <c r="J106" s="1"/>
      <c r="K106" s="1"/>
      <c r="L106" s="1"/>
      <c r="M106" s="1"/>
      <c r="N106" s="1"/>
      <c r="O106" s="1"/>
      <c r="P106" s="1"/>
      <c r="Q106" s="1"/>
      <c r="R106" s="1"/>
      <c r="S106" s="1"/>
      <c r="T106" s="1"/>
      <c r="U106" s="1"/>
      <c r="V106" s="1"/>
      <c r="W106" s="1"/>
      <c r="X106" s="1"/>
      <c r="Y106" s="1"/>
      <c r="Z106" s="1"/>
    </row>
    <row r="107" ht="15.75" hidden="1" customHeight="1">
      <c r="A107" s="1"/>
      <c r="C107" s="186" t="str">
        <f t="shared" si="3"/>
        <v/>
      </c>
      <c r="D107" s="186" t="str">
        <f t="shared" si="4"/>
        <v/>
      </c>
      <c r="E107" s="1"/>
      <c r="F107" s="1"/>
      <c r="G107" s="1"/>
      <c r="H107" s="1"/>
      <c r="I107" s="1"/>
      <c r="J107" s="1"/>
      <c r="K107" s="1"/>
      <c r="L107" s="1"/>
      <c r="M107" s="1"/>
      <c r="N107" s="1"/>
      <c r="O107" s="1"/>
      <c r="P107" s="1"/>
      <c r="Q107" s="1"/>
      <c r="R107" s="1"/>
      <c r="S107" s="1"/>
      <c r="T107" s="1"/>
      <c r="U107" s="1"/>
      <c r="V107" s="1"/>
      <c r="W107" s="1"/>
      <c r="X107" s="1"/>
      <c r="Y107" s="1"/>
      <c r="Z107" s="1"/>
    </row>
    <row r="108" ht="15.75" hidden="1" customHeight="1">
      <c r="A108" s="1"/>
      <c r="C108" s="186" t="str">
        <f t="shared" si="3"/>
        <v/>
      </c>
      <c r="D108" s="186" t="str">
        <f t="shared" si="4"/>
        <v/>
      </c>
      <c r="E108" s="1"/>
      <c r="F108" s="1"/>
      <c r="G108" s="1"/>
      <c r="H108" s="1"/>
      <c r="I108" s="1"/>
      <c r="J108" s="1"/>
      <c r="K108" s="1"/>
      <c r="L108" s="1"/>
      <c r="M108" s="1"/>
      <c r="N108" s="1"/>
      <c r="O108" s="1"/>
      <c r="P108" s="1"/>
      <c r="Q108" s="1"/>
      <c r="R108" s="1"/>
      <c r="S108" s="1"/>
      <c r="T108" s="1"/>
      <c r="U108" s="1"/>
      <c r="V108" s="1"/>
      <c r="W108" s="1"/>
      <c r="X108" s="1"/>
      <c r="Y108" s="1"/>
      <c r="Z108" s="1"/>
    </row>
    <row r="109" ht="15.75" hidden="1" customHeight="1">
      <c r="A109" s="1"/>
      <c r="C109" s="186" t="str">
        <f t="shared" si="3"/>
        <v/>
      </c>
      <c r="D109" s="186" t="str">
        <f t="shared" si="4"/>
        <v/>
      </c>
      <c r="E109" s="1"/>
      <c r="F109" s="1"/>
      <c r="G109" s="1"/>
      <c r="H109" s="1"/>
      <c r="I109" s="1"/>
      <c r="J109" s="1"/>
      <c r="K109" s="1"/>
      <c r="L109" s="1"/>
      <c r="M109" s="1"/>
      <c r="N109" s="1"/>
      <c r="O109" s="1"/>
      <c r="P109" s="1"/>
      <c r="Q109" s="1"/>
      <c r="R109" s="1"/>
      <c r="S109" s="1"/>
      <c r="T109" s="1"/>
      <c r="U109" s="1"/>
      <c r="V109" s="1"/>
      <c r="W109" s="1"/>
      <c r="X109" s="1"/>
      <c r="Y109" s="1"/>
      <c r="Z109" s="1"/>
    </row>
    <row r="110" ht="15.75" hidden="1" customHeight="1">
      <c r="A110" s="1"/>
      <c r="C110" s="186" t="str">
        <f t="shared" si="3"/>
        <v/>
      </c>
      <c r="D110" s="186" t="str">
        <f t="shared" si="4"/>
        <v/>
      </c>
      <c r="E110" s="1"/>
      <c r="F110" s="1"/>
      <c r="G110" s="1"/>
      <c r="H110" s="1"/>
      <c r="I110" s="1"/>
      <c r="J110" s="1"/>
      <c r="K110" s="1"/>
      <c r="L110" s="1"/>
      <c r="M110" s="1"/>
      <c r="N110" s="1"/>
      <c r="O110" s="1"/>
      <c r="P110" s="1"/>
      <c r="Q110" s="1"/>
      <c r="R110" s="1"/>
      <c r="S110" s="1"/>
      <c r="T110" s="1"/>
      <c r="U110" s="1"/>
      <c r="V110" s="1"/>
      <c r="W110" s="1"/>
      <c r="X110" s="1"/>
      <c r="Y110" s="1"/>
      <c r="Z110" s="1"/>
    </row>
    <row r="111" ht="15.75" hidden="1" customHeight="1">
      <c r="A111" s="1"/>
      <c r="C111" s="186" t="str">
        <f t="shared" si="3"/>
        <v/>
      </c>
      <c r="D111" s="186" t="str">
        <f t="shared" si="4"/>
        <v/>
      </c>
      <c r="E111" s="1"/>
      <c r="F111" s="1"/>
      <c r="G111" s="1"/>
      <c r="H111" s="1"/>
      <c r="I111" s="1"/>
      <c r="J111" s="1"/>
      <c r="K111" s="1"/>
      <c r="L111" s="1"/>
      <c r="M111" s="1"/>
      <c r="N111" s="1"/>
      <c r="O111" s="1"/>
      <c r="P111" s="1"/>
      <c r="Q111" s="1"/>
      <c r="R111" s="1"/>
      <c r="S111" s="1"/>
      <c r="T111" s="1"/>
      <c r="U111" s="1"/>
      <c r="V111" s="1"/>
      <c r="W111" s="1"/>
      <c r="X111" s="1"/>
      <c r="Y111" s="1"/>
      <c r="Z111" s="1"/>
    </row>
    <row r="112" ht="15.75" hidden="1" customHeight="1">
      <c r="A112" s="1"/>
      <c r="C112" s="186" t="str">
        <f t="shared" si="3"/>
        <v/>
      </c>
      <c r="D112" s="186" t="str">
        <f t="shared" si="4"/>
        <v/>
      </c>
      <c r="E112" s="1"/>
      <c r="F112" s="1"/>
      <c r="G112" s="1"/>
      <c r="H112" s="1"/>
      <c r="I112" s="1"/>
      <c r="J112" s="1"/>
      <c r="K112" s="1"/>
      <c r="L112" s="1"/>
      <c r="M112" s="1"/>
      <c r="N112" s="1"/>
      <c r="O112" s="1"/>
      <c r="P112" s="1"/>
      <c r="Q112" s="1"/>
      <c r="R112" s="1"/>
      <c r="S112" s="1"/>
      <c r="T112" s="1"/>
      <c r="U112" s="1"/>
      <c r="V112" s="1"/>
      <c r="W112" s="1"/>
      <c r="X112" s="1"/>
      <c r="Y112" s="1"/>
      <c r="Z112" s="1"/>
    </row>
    <row r="113" ht="15.75" hidden="1" customHeight="1">
      <c r="A113" s="1"/>
      <c r="C113" s="186" t="str">
        <f t="shared" si="3"/>
        <v/>
      </c>
      <c r="D113" s="186" t="str">
        <f t="shared" si="4"/>
        <v/>
      </c>
      <c r="E113" s="1"/>
      <c r="F113" s="1"/>
      <c r="G113" s="1"/>
      <c r="H113" s="1"/>
      <c r="I113" s="1"/>
      <c r="J113" s="1"/>
      <c r="K113" s="1"/>
      <c r="L113" s="1"/>
      <c r="M113" s="1"/>
      <c r="N113" s="1"/>
      <c r="O113" s="1"/>
      <c r="P113" s="1"/>
      <c r="Q113" s="1"/>
      <c r="R113" s="1"/>
      <c r="S113" s="1"/>
      <c r="T113" s="1"/>
      <c r="U113" s="1"/>
      <c r="V113" s="1"/>
      <c r="W113" s="1"/>
      <c r="X113" s="1"/>
      <c r="Y113" s="1"/>
      <c r="Z113" s="1"/>
    </row>
    <row r="114" ht="15.75" hidden="1" customHeight="1">
      <c r="A114" s="1"/>
      <c r="C114" s="186" t="str">
        <f t="shared" si="3"/>
        <v/>
      </c>
      <c r="D114" s="186" t="str">
        <f t="shared" si="4"/>
        <v/>
      </c>
      <c r="E114" s="1"/>
      <c r="F114" s="1"/>
      <c r="G114" s="1"/>
      <c r="H114" s="1"/>
      <c r="I114" s="1"/>
      <c r="J114" s="1"/>
      <c r="K114" s="1"/>
      <c r="L114" s="1"/>
      <c r="M114" s="1"/>
      <c r="N114" s="1"/>
      <c r="O114" s="1"/>
      <c r="P114" s="1"/>
      <c r="Q114" s="1"/>
      <c r="R114" s="1"/>
      <c r="S114" s="1"/>
      <c r="T114" s="1"/>
      <c r="U114" s="1"/>
      <c r="V114" s="1"/>
      <c r="W114" s="1"/>
      <c r="X114" s="1"/>
      <c r="Y114" s="1"/>
      <c r="Z114" s="1"/>
    </row>
    <row r="115" ht="15.75" hidden="1" customHeight="1">
      <c r="A115" s="1"/>
      <c r="C115" s="186" t="str">
        <f t="shared" si="3"/>
        <v/>
      </c>
      <c r="D115" s="186" t="str">
        <f t="shared" si="4"/>
        <v/>
      </c>
      <c r="E115" s="1"/>
      <c r="F115" s="1"/>
      <c r="G115" s="1"/>
      <c r="H115" s="1"/>
      <c r="I115" s="1"/>
      <c r="J115" s="1"/>
      <c r="K115" s="1"/>
      <c r="L115" s="1"/>
      <c r="M115" s="1"/>
      <c r="N115" s="1"/>
      <c r="O115" s="1"/>
      <c r="P115" s="1"/>
      <c r="Q115" s="1"/>
      <c r="R115" s="1"/>
      <c r="S115" s="1"/>
      <c r="T115" s="1"/>
      <c r="U115" s="1"/>
      <c r="V115" s="1"/>
      <c r="W115" s="1"/>
      <c r="X115" s="1"/>
      <c r="Y115" s="1"/>
      <c r="Z115" s="1"/>
    </row>
    <row r="116" ht="15.75" hidden="1" customHeight="1">
      <c r="A116" s="1"/>
      <c r="C116" s="186" t="str">
        <f t="shared" si="3"/>
        <v/>
      </c>
      <c r="D116" s="186" t="str">
        <f t="shared" si="4"/>
        <v/>
      </c>
      <c r="E116" s="1"/>
      <c r="F116" s="1"/>
      <c r="G116" s="1"/>
      <c r="H116" s="1"/>
      <c r="I116" s="1"/>
      <c r="J116" s="1"/>
      <c r="K116" s="1"/>
      <c r="L116" s="1"/>
      <c r="M116" s="1"/>
      <c r="N116" s="1"/>
      <c r="O116" s="1"/>
      <c r="P116" s="1"/>
      <c r="Q116" s="1"/>
      <c r="R116" s="1"/>
      <c r="S116" s="1"/>
      <c r="T116" s="1"/>
      <c r="U116" s="1"/>
      <c r="V116" s="1"/>
      <c r="W116" s="1"/>
      <c r="X116" s="1"/>
      <c r="Y116" s="1"/>
      <c r="Z116" s="1"/>
    </row>
    <row r="117" ht="15.75" hidden="1" customHeight="1">
      <c r="A117" s="1"/>
      <c r="C117" s="186" t="str">
        <f t="shared" si="3"/>
        <v/>
      </c>
      <c r="D117" s="186" t="str">
        <f t="shared" si="4"/>
        <v/>
      </c>
      <c r="E117" s="1"/>
      <c r="F117" s="1"/>
      <c r="G117" s="1"/>
      <c r="H117" s="1"/>
      <c r="I117" s="1"/>
      <c r="J117" s="1"/>
      <c r="K117" s="1"/>
      <c r="L117" s="1"/>
      <c r="M117" s="1"/>
      <c r="N117" s="1"/>
      <c r="O117" s="1"/>
      <c r="P117" s="1"/>
      <c r="Q117" s="1"/>
      <c r="R117" s="1"/>
      <c r="S117" s="1"/>
      <c r="T117" s="1"/>
      <c r="U117" s="1"/>
      <c r="V117" s="1"/>
      <c r="W117" s="1"/>
      <c r="X117" s="1"/>
      <c r="Y117" s="1"/>
      <c r="Z117" s="1"/>
    </row>
    <row r="118" ht="15.75" hidden="1" customHeight="1">
      <c r="A118" s="1"/>
      <c r="C118" s="186" t="str">
        <f t="shared" si="3"/>
        <v/>
      </c>
      <c r="D118" s="186" t="str">
        <f t="shared" si="4"/>
        <v/>
      </c>
      <c r="E118" s="1"/>
      <c r="F118" s="1"/>
      <c r="G118" s="1"/>
      <c r="H118" s="1"/>
      <c r="I118" s="1"/>
      <c r="J118" s="1"/>
      <c r="K118" s="1"/>
      <c r="L118" s="1"/>
      <c r="M118" s="1"/>
      <c r="N118" s="1"/>
      <c r="O118" s="1"/>
      <c r="P118" s="1"/>
      <c r="Q118" s="1"/>
      <c r="R118" s="1"/>
      <c r="S118" s="1"/>
      <c r="T118" s="1"/>
      <c r="U118" s="1"/>
      <c r="V118" s="1"/>
      <c r="W118" s="1"/>
      <c r="X118" s="1"/>
      <c r="Y118" s="1"/>
      <c r="Z118" s="1"/>
    </row>
    <row r="119" ht="15.75" hidden="1" customHeight="1">
      <c r="A119" s="1"/>
      <c r="C119" s="186" t="str">
        <f t="shared" si="3"/>
        <v/>
      </c>
      <c r="D119" s="186" t="str">
        <f t="shared" si="4"/>
        <v/>
      </c>
      <c r="E119" s="1"/>
      <c r="F119" s="1"/>
      <c r="G119" s="1"/>
      <c r="H119" s="1"/>
      <c r="I119" s="1"/>
      <c r="J119" s="1"/>
      <c r="K119" s="1"/>
      <c r="L119" s="1"/>
      <c r="M119" s="1"/>
      <c r="N119" s="1"/>
      <c r="O119" s="1"/>
      <c r="P119" s="1"/>
      <c r="Q119" s="1"/>
      <c r="R119" s="1"/>
      <c r="S119" s="1"/>
      <c r="T119" s="1"/>
      <c r="U119" s="1"/>
      <c r="V119" s="1"/>
      <c r="W119" s="1"/>
      <c r="X119" s="1"/>
      <c r="Y119" s="1"/>
      <c r="Z119" s="1"/>
    </row>
    <row r="120" ht="15.75" hidden="1" customHeight="1">
      <c r="A120" s="1"/>
      <c r="C120" s="186" t="str">
        <f t="shared" si="3"/>
        <v/>
      </c>
      <c r="D120" s="186" t="str">
        <f t="shared" si="4"/>
        <v/>
      </c>
      <c r="E120" s="1"/>
      <c r="F120" s="1"/>
      <c r="G120" s="1"/>
      <c r="H120" s="1"/>
      <c r="I120" s="1"/>
      <c r="J120" s="1"/>
      <c r="K120" s="1"/>
      <c r="L120" s="1"/>
      <c r="M120" s="1"/>
      <c r="N120" s="1"/>
      <c r="O120" s="1"/>
      <c r="P120" s="1"/>
      <c r="Q120" s="1"/>
      <c r="R120" s="1"/>
      <c r="S120" s="1"/>
      <c r="T120" s="1"/>
      <c r="U120" s="1"/>
      <c r="V120" s="1"/>
      <c r="W120" s="1"/>
      <c r="X120" s="1"/>
      <c r="Y120" s="1"/>
      <c r="Z120" s="1"/>
    </row>
    <row r="121" ht="15.75" hidden="1" customHeight="1">
      <c r="A121" s="1"/>
      <c r="C121" s="186" t="str">
        <f t="shared" si="3"/>
        <v/>
      </c>
      <c r="D121" s="186" t="str">
        <f t="shared" si="4"/>
        <v/>
      </c>
      <c r="E121" s="1"/>
      <c r="F121" s="1"/>
      <c r="G121" s="1"/>
      <c r="H121" s="1"/>
      <c r="I121" s="1"/>
      <c r="J121" s="1"/>
      <c r="K121" s="1"/>
      <c r="L121" s="1"/>
      <c r="M121" s="1"/>
      <c r="N121" s="1"/>
      <c r="O121" s="1"/>
      <c r="P121" s="1"/>
      <c r="Q121" s="1"/>
      <c r="R121" s="1"/>
      <c r="S121" s="1"/>
      <c r="T121" s="1"/>
      <c r="U121" s="1"/>
      <c r="V121" s="1"/>
      <c r="W121" s="1"/>
      <c r="X121" s="1"/>
      <c r="Y121" s="1"/>
      <c r="Z121" s="1"/>
    </row>
    <row r="122" ht="15.75" hidden="1" customHeight="1">
      <c r="A122" s="1"/>
      <c r="C122" s="186" t="str">
        <f t="shared" si="3"/>
        <v/>
      </c>
      <c r="D122" s="186" t="str">
        <f t="shared" si="4"/>
        <v/>
      </c>
      <c r="E122" s="1"/>
      <c r="F122" s="1"/>
      <c r="G122" s="1"/>
      <c r="H122" s="1"/>
      <c r="I122" s="1"/>
      <c r="J122" s="1"/>
      <c r="K122" s="1"/>
      <c r="L122" s="1"/>
      <c r="M122" s="1"/>
      <c r="N122" s="1"/>
      <c r="O122" s="1"/>
      <c r="P122" s="1"/>
      <c r="Q122" s="1"/>
      <c r="R122" s="1"/>
      <c r="S122" s="1"/>
      <c r="T122" s="1"/>
      <c r="U122" s="1"/>
      <c r="V122" s="1"/>
      <c r="W122" s="1"/>
      <c r="X122" s="1"/>
      <c r="Y122" s="1"/>
      <c r="Z122" s="1"/>
    </row>
    <row r="123" ht="15.75" hidden="1" customHeight="1">
      <c r="A123" s="1"/>
      <c r="C123" s="186" t="str">
        <f t="shared" si="3"/>
        <v/>
      </c>
      <c r="D123" s="186" t="str">
        <f t="shared" si="4"/>
        <v/>
      </c>
      <c r="E123" s="1"/>
      <c r="F123" s="1"/>
      <c r="G123" s="1"/>
      <c r="H123" s="1"/>
      <c r="I123" s="1"/>
      <c r="J123" s="1"/>
      <c r="K123" s="1"/>
      <c r="L123" s="1"/>
      <c r="M123" s="1"/>
      <c r="N123" s="1"/>
      <c r="O123" s="1"/>
      <c r="P123" s="1"/>
      <c r="Q123" s="1"/>
      <c r="R123" s="1"/>
      <c r="S123" s="1"/>
      <c r="T123" s="1"/>
      <c r="U123" s="1"/>
      <c r="V123" s="1"/>
      <c r="W123" s="1"/>
      <c r="X123" s="1"/>
      <c r="Y123" s="1"/>
      <c r="Z123" s="1"/>
    </row>
    <row r="124" ht="15.75" hidden="1" customHeight="1">
      <c r="A124" s="1"/>
      <c r="C124" s="186" t="str">
        <f t="shared" si="3"/>
        <v/>
      </c>
      <c r="D124" s="186" t="str">
        <f t="shared" si="4"/>
        <v/>
      </c>
      <c r="E124" s="1"/>
      <c r="F124" s="1"/>
      <c r="G124" s="1"/>
      <c r="H124" s="1"/>
      <c r="I124" s="1"/>
      <c r="J124" s="1"/>
      <c r="K124" s="1"/>
      <c r="L124" s="1"/>
      <c r="M124" s="1"/>
      <c r="N124" s="1"/>
      <c r="O124" s="1"/>
      <c r="P124" s="1"/>
      <c r="Q124" s="1"/>
      <c r="R124" s="1"/>
      <c r="S124" s="1"/>
      <c r="T124" s="1"/>
      <c r="U124" s="1"/>
      <c r="V124" s="1"/>
      <c r="W124" s="1"/>
      <c r="X124" s="1"/>
      <c r="Y124" s="1"/>
      <c r="Z124" s="1"/>
    </row>
    <row r="125" ht="15.75" hidden="1" customHeight="1">
      <c r="A125" s="1"/>
      <c r="C125" s="186" t="str">
        <f t="shared" si="3"/>
        <v/>
      </c>
      <c r="D125" s="186" t="str">
        <f t="shared" si="4"/>
        <v/>
      </c>
      <c r="E125" s="1"/>
      <c r="F125" s="1"/>
      <c r="G125" s="1"/>
      <c r="H125" s="1"/>
      <c r="I125" s="1"/>
      <c r="J125" s="1"/>
      <c r="K125" s="1"/>
      <c r="L125" s="1"/>
      <c r="M125" s="1"/>
      <c r="N125" s="1"/>
      <c r="O125" s="1"/>
      <c r="P125" s="1"/>
      <c r="Q125" s="1"/>
      <c r="R125" s="1"/>
      <c r="S125" s="1"/>
      <c r="T125" s="1"/>
      <c r="U125" s="1"/>
      <c r="V125" s="1"/>
      <c r="W125" s="1"/>
      <c r="X125" s="1"/>
      <c r="Y125" s="1"/>
      <c r="Z125" s="1"/>
    </row>
    <row r="126" ht="15.75" hidden="1" customHeight="1">
      <c r="A126" s="1"/>
      <c r="C126" s="186" t="str">
        <f t="shared" si="3"/>
        <v/>
      </c>
      <c r="D126" s="186" t="str">
        <f t="shared" si="4"/>
        <v/>
      </c>
      <c r="E126" s="1"/>
      <c r="F126" s="1"/>
      <c r="G126" s="1"/>
      <c r="H126" s="1"/>
      <c r="I126" s="1"/>
      <c r="J126" s="1"/>
      <c r="K126" s="1"/>
      <c r="L126" s="1"/>
      <c r="M126" s="1"/>
      <c r="N126" s="1"/>
      <c r="O126" s="1"/>
      <c r="P126" s="1"/>
      <c r="Q126" s="1"/>
      <c r="R126" s="1"/>
      <c r="S126" s="1"/>
      <c r="T126" s="1"/>
      <c r="U126" s="1"/>
      <c r="V126" s="1"/>
      <c r="W126" s="1"/>
      <c r="X126" s="1"/>
      <c r="Y126" s="1"/>
      <c r="Z126" s="1"/>
    </row>
    <row r="127" ht="15.75" hidden="1" customHeight="1">
      <c r="A127" s="1"/>
      <c r="C127" s="186" t="str">
        <f t="shared" si="3"/>
        <v/>
      </c>
      <c r="D127" s="186" t="str">
        <f t="shared" si="4"/>
        <v/>
      </c>
      <c r="E127" s="1"/>
      <c r="F127" s="1"/>
      <c r="G127" s="1"/>
      <c r="H127" s="1"/>
      <c r="I127" s="1"/>
      <c r="J127" s="1"/>
      <c r="K127" s="1"/>
      <c r="L127" s="1"/>
      <c r="M127" s="1"/>
      <c r="N127" s="1"/>
      <c r="O127" s="1"/>
      <c r="P127" s="1"/>
      <c r="Q127" s="1"/>
      <c r="R127" s="1"/>
      <c r="S127" s="1"/>
      <c r="T127" s="1"/>
      <c r="U127" s="1"/>
      <c r="V127" s="1"/>
      <c r="W127" s="1"/>
      <c r="X127" s="1"/>
      <c r="Y127" s="1"/>
      <c r="Z127" s="1"/>
    </row>
    <row r="128" ht="15.75" hidden="1" customHeight="1">
      <c r="A128" s="1"/>
      <c r="C128" s="186" t="str">
        <f t="shared" si="3"/>
        <v/>
      </c>
      <c r="D128" s="186" t="str">
        <f t="shared" si="4"/>
        <v/>
      </c>
      <c r="E128" s="1"/>
      <c r="F128" s="1"/>
      <c r="G128" s="1"/>
      <c r="H128" s="1"/>
      <c r="I128" s="1"/>
      <c r="J128" s="1"/>
      <c r="K128" s="1"/>
      <c r="L128" s="1"/>
      <c r="M128" s="1"/>
      <c r="N128" s="1"/>
      <c r="O128" s="1"/>
      <c r="P128" s="1"/>
      <c r="Q128" s="1"/>
      <c r="R128" s="1"/>
      <c r="S128" s="1"/>
      <c r="T128" s="1"/>
      <c r="U128" s="1"/>
      <c r="V128" s="1"/>
      <c r="W128" s="1"/>
      <c r="X128" s="1"/>
      <c r="Y128" s="1"/>
      <c r="Z128" s="1"/>
    </row>
    <row r="129" ht="15.75" hidden="1" customHeight="1">
      <c r="A129" s="1"/>
      <c r="C129" s="186" t="str">
        <f t="shared" si="3"/>
        <v/>
      </c>
      <c r="D129" s="186" t="str">
        <f t="shared" si="4"/>
        <v/>
      </c>
      <c r="E129" s="1"/>
      <c r="F129" s="1"/>
      <c r="G129" s="1"/>
      <c r="H129" s="1"/>
      <c r="I129" s="1"/>
      <c r="J129" s="1"/>
      <c r="K129" s="1"/>
      <c r="L129" s="1"/>
      <c r="M129" s="1"/>
      <c r="N129" s="1"/>
      <c r="O129" s="1"/>
      <c r="P129" s="1"/>
      <c r="Q129" s="1"/>
      <c r="R129" s="1"/>
      <c r="S129" s="1"/>
      <c r="T129" s="1"/>
      <c r="U129" s="1"/>
      <c r="V129" s="1"/>
      <c r="W129" s="1"/>
      <c r="X129" s="1"/>
      <c r="Y129" s="1"/>
      <c r="Z129" s="1"/>
    </row>
    <row r="130" ht="15.75" hidden="1" customHeight="1">
      <c r="A130" s="1"/>
      <c r="C130" s="186" t="str">
        <f t="shared" si="3"/>
        <v/>
      </c>
      <c r="D130" s="186" t="str">
        <f t="shared" si="4"/>
        <v/>
      </c>
      <c r="E130" s="1"/>
      <c r="F130" s="1"/>
      <c r="G130" s="1"/>
      <c r="H130" s="1"/>
      <c r="I130" s="1"/>
      <c r="J130" s="1"/>
      <c r="K130" s="1"/>
      <c r="L130" s="1"/>
      <c r="M130" s="1"/>
      <c r="N130" s="1"/>
      <c r="O130" s="1"/>
      <c r="P130" s="1"/>
      <c r="Q130" s="1"/>
      <c r="R130" s="1"/>
      <c r="S130" s="1"/>
      <c r="T130" s="1"/>
      <c r="U130" s="1"/>
      <c r="V130" s="1"/>
      <c r="W130" s="1"/>
      <c r="X130" s="1"/>
      <c r="Y130" s="1"/>
      <c r="Z130" s="1"/>
    </row>
    <row r="131" ht="15.75" hidden="1" customHeight="1">
      <c r="A131" s="1"/>
      <c r="C131" s="186" t="str">
        <f t="shared" si="3"/>
        <v/>
      </c>
      <c r="D131" s="186" t="str">
        <f t="shared" si="4"/>
        <v/>
      </c>
      <c r="E131" s="1"/>
      <c r="F131" s="1"/>
      <c r="G131" s="1"/>
      <c r="H131" s="1"/>
      <c r="I131" s="1"/>
      <c r="J131" s="1"/>
      <c r="K131" s="1"/>
      <c r="L131" s="1"/>
      <c r="M131" s="1"/>
      <c r="N131" s="1"/>
      <c r="O131" s="1"/>
      <c r="P131" s="1"/>
      <c r="Q131" s="1"/>
      <c r="R131" s="1"/>
      <c r="S131" s="1"/>
      <c r="T131" s="1"/>
      <c r="U131" s="1"/>
      <c r="V131" s="1"/>
      <c r="W131" s="1"/>
      <c r="X131" s="1"/>
      <c r="Y131" s="1"/>
      <c r="Z131" s="1"/>
    </row>
    <row r="132" ht="15.75" hidden="1" customHeight="1">
      <c r="A132" s="1"/>
      <c r="C132" s="186" t="str">
        <f t="shared" si="3"/>
        <v/>
      </c>
      <c r="D132" s="186" t="str">
        <f t="shared" si="4"/>
        <v/>
      </c>
      <c r="E132" s="1"/>
      <c r="F132" s="1"/>
      <c r="G132" s="1"/>
      <c r="H132" s="1"/>
      <c r="I132" s="1"/>
      <c r="J132" s="1"/>
      <c r="K132" s="1"/>
      <c r="L132" s="1"/>
      <c r="M132" s="1"/>
      <c r="N132" s="1"/>
      <c r="O132" s="1"/>
      <c r="P132" s="1"/>
      <c r="Q132" s="1"/>
      <c r="R132" s="1"/>
      <c r="S132" s="1"/>
      <c r="T132" s="1"/>
      <c r="U132" s="1"/>
      <c r="V132" s="1"/>
      <c r="W132" s="1"/>
      <c r="X132" s="1"/>
      <c r="Y132" s="1"/>
      <c r="Z132" s="1"/>
    </row>
    <row r="133" ht="15.75" hidden="1" customHeight="1">
      <c r="A133" s="1"/>
      <c r="C133" s="186" t="str">
        <f t="shared" si="3"/>
        <v/>
      </c>
      <c r="D133" s="186" t="str">
        <f t="shared" si="4"/>
        <v/>
      </c>
      <c r="E133" s="1"/>
      <c r="F133" s="1"/>
      <c r="G133" s="1"/>
      <c r="H133" s="1"/>
      <c r="I133" s="1"/>
      <c r="J133" s="1"/>
      <c r="K133" s="1"/>
      <c r="L133" s="1"/>
      <c r="M133" s="1"/>
      <c r="N133" s="1"/>
      <c r="O133" s="1"/>
      <c r="P133" s="1"/>
      <c r="Q133" s="1"/>
      <c r="R133" s="1"/>
      <c r="S133" s="1"/>
      <c r="T133" s="1"/>
      <c r="U133" s="1"/>
      <c r="V133" s="1"/>
      <c r="W133" s="1"/>
      <c r="X133" s="1"/>
      <c r="Y133" s="1"/>
      <c r="Z133" s="1"/>
    </row>
    <row r="134" ht="15.75" hidden="1" customHeight="1">
      <c r="A134" s="1"/>
      <c r="C134" s="186" t="str">
        <f t="shared" si="3"/>
        <v/>
      </c>
      <c r="D134" s="186" t="str">
        <f t="shared" si="4"/>
        <v/>
      </c>
      <c r="E134" s="1"/>
      <c r="F134" s="1"/>
      <c r="G134" s="1"/>
      <c r="H134" s="1"/>
      <c r="I134" s="1"/>
      <c r="J134" s="1"/>
      <c r="K134" s="1"/>
      <c r="L134" s="1"/>
      <c r="M134" s="1"/>
      <c r="N134" s="1"/>
      <c r="O134" s="1"/>
      <c r="P134" s="1"/>
      <c r="Q134" s="1"/>
      <c r="R134" s="1"/>
      <c r="S134" s="1"/>
      <c r="T134" s="1"/>
      <c r="U134" s="1"/>
      <c r="V134" s="1"/>
      <c r="W134" s="1"/>
      <c r="X134" s="1"/>
      <c r="Y134" s="1"/>
      <c r="Z134" s="1"/>
    </row>
    <row r="135" ht="15.75" hidden="1" customHeight="1">
      <c r="A135" s="1"/>
      <c r="C135" s="186" t="str">
        <f t="shared" si="3"/>
        <v/>
      </c>
      <c r="D135" s="186" t="str">
        <f t="shared" si="4"/>
        <v/>
      </c>
      <c r="E135" s="1"/>
      <c r="F135" s="1"/>
      <c r="G135" s="1"/>
      <c r="H135" s="1"/>
      <c r="I135" s="1"/>
      <c r="J135" s="1"/>
      <c r="K135" s="1"/>
      <c r="L135" s="1"/>
      <c r="M135" s="1"/>
      <c r="N135" s="1"/>
      <c r="O135" s="1"/>
      <c r="P135" s="1"/>
      <c r="Q135" s="1"/>
      <c r="R135" s="1"/>
      <c r="S135" s="1"/>
      <c r="T135" s="1"/>
      <c r="U135" s="1"/>
      <c r="V135" s="1"/>
      <c r="W135" s="1"/>
      <c r="X135" s="1"/>
      <c r="Y135" s="1"/>
      <c r="Z135" s="1"/>
    </row>
    <row r="136" ht="15.75" hidden="1" customHeight="1">
      <c r="A136" s="1"/>
      <c r="C136" s="186" t="str">
        <f t="shared" si="3"/>
        <v/>
      </c>
      <c r="D136" s="186" t="str">
        <f t="shared" si="4"/>
        <v/>
      </c>
      <c r="E136" s="1"/>
      <c r="F136" s="1"/>
      <c r="G136" s="1"/>
      <c r="H136" s="1"/>
      <c r="I136" s="1"/>
      <c r="J136" s="1"/>
      <c r="K136" s="1"/>
      <c r="L136" s="1"/>
      <c r="M136" s="1"/>
      <c r="N136" s="1"/>
      <c r="O136" s="1"/>
      <c r="P136" s="1"/>
      <c r="Q136" s="1"/>
      <c r="R136" s="1"/>
      <c r="S136" s="1"/>
      <c r="T136" s="1"/>
      <c r="U136" s="1"/>
      <c r="V136" s="1"/>
      <c r="W136" s="1"/>
      <c r="X136" s="1"/>
      <c r="Y136" s="1"/>
      <c r="Z136" s="1"/>
    </row>
    <row r="137" ht="15.75" hidden="1" customHeight="1">
      <c r="A137" s="1"/>
      <c r="C137" s="186" t="str">
        <f t="shared" si="3"/>
        <v/>
      </c>
      <c r="D137" s="186" t="str">
        <f t="shared" si="4"/>
        <v/>
      </c>
      <c r="E137" s="1"/>
      <c r="F137" s="1"/>
      <c r="G137" s="1"/>
      <c r="H137" s="1"/>
      <c r="I137" s="1"/>
      <c r="J137" s="1"/>
      <c r="K137" s="1"/>
      <c r="L137" s="1"/>
      <c r="M137" s="1"/>
      <c r="N137" s="1"/>
      <c r="O137" s="1"/>
      <c r="P137" s="1"/>
      <c r="Q137" s="1"/>
      <c r="R137" s="1"/>
      <c r="S137" s="1"/>
      <c r="T137" s="1"/>
      <c r="U137" s="1"/>
      <c r="V137" s="1"/>
      <c r="W137" s="1"/>
      <c r="X137" s="1"/>
      <c r="Y137" s="1"/>
      <c r="Z137" s="1"/>
    </row>
    <row r="138" ht="15.75" hidden="1" customHeight="1">
      <c r="A138" s="1"/>
      <c r="C138" s="186" t="str">
        <f t="shared" si="3"/>
        <v/>
      </c>
      <c r="D138" s="186" t="str">
        <f t="shared" si="4"/>
        <v/>
      </c>
      <c r="E138" s="1"/>
      <c r="F138" s="1"/>
      <c r="G138" s="1"/>
      <c r="H138" s="1"/>
      <c r="I138" s="1"/>
      <c r="J138" s="1"/>
      <c r="K138" s="1"/>
      <c r="L138" s="1"/>
      <c r="M138" s="1"/>
      <c r="N138" s="1"/>
      <c r="O138" s="1"/>
      <c r="P138" s="1"/>
      <c r="Q138" s="1"/>
      <c r="R138" s="1"/>
      <c r="S138" s="1"/>
      <c r="T138" s="1"/>
      <c r="U138" s="1"/>
      <c r="V138" s="1"/>
      <c r="W138" s="1"/>
      <c r="X138" s="1"/>
      <c r="Y138" s="1"/>
      <c r="Z138" s="1"/>
    </row>
    <row r="139" ht="15.75" hidden="1" customHeight="1">
      <c r="A139" s="1"/>
      <c r="C139" s="186" t="str">
        <f t="shared" si="3"/>
        <v/>
      </c>
      <c r="D139" s="186" t="str">
        <f t="shared" si="4"/>
        <v/>
      </c>
      <c r="E139" s="1"/>
      <c r="F139" s="1"/>
      <c r="G139" s="1"/>
      <c r="H139" s="1"/>
      <c r="I139" s="1"/>
      <c r="J139" s="1"/>
      <c r="K139" s="1"/>
      <c r="L139" s="1"/>
      <c r="M139" s="1"/>
      <c r="N139" s="1"/>
      <c r="O139" s="1"/>
      <c r="P139" s="1"/>
      <c r="Q139" s="1"/>
      <c r="R139" s="1"/>
      <c r="S139" s="1"/>
      <c r="T139" s="1"/>
      <c r="U139" s="1"/>
      <c r="V139" s="1"/>
      <c r="W139" s="1"/>
      <c r="X139" s="1"/>
      <c r="Y139" s="1"/>
      <c r="Z139" s="1"/>
    </row>
    <row r="140" ht="15.75" hidden="1" customHeight="1">
      <c r="A140" s="1"/>
      <c r="C140" s="186" t="str">
        <f t="shared" si="3"/>
        <v/>
      </c>
      <c r="D140" s="186" t="str">
        <f t="shared" si="4"/>
        <v/>
      </c>
      <c r="E140" s="1"/>
      <c r="F140" s="1"/>
      <c r="G140" s="1"/>
      <c r="H140" s="1"/>
      <c r="I140" s="1"/>
      <c r="J140" s="1"/>
      <c r="K140" s="1"/>
      <c r="L140" s="1"/>
      <c r="M140" s="1"/>
      <c r="N140" s="1"/>
      <c r="O140" s="1"/>
      <c r="P140" s="1"/>
      <c r="Q140" s="1"/>
      <c r="R140" s="1"/>
      <c r="S140" s="1"/>
      <c r="T140" s="1"/>
      <c r="U140" s="1"/>
      <c r="V140" s="1"/>
      <c r="W140" s="1"/>
      <c r="X140" s="1"/>
      <c r="Y140" s="1"/>
      <c r="Z140" s="1"/>
    </row>
    <row r="141" ht="15.75" hidden="1" customHeight="1">
      <c r="A141" s="1"/>
      <c r="C141" s="186" t="str">
        <f t="shared" si="3"/>
        <v/>
      </c>
      <c r="D141" s="186" t="str">
        <f t="shared" si="4"/>
        <v/>
      </c>
      <c r="E141" s="1"/>
      <c r="F141" s="1"/>
      <c r="G141" s="1"/>
      <c r="H141" s="1"/>
      <c r="I141" s="1"/>
      <c r="J141" s="1"/>
      <c r="K141" s="1"/>
      <c r="L141" s="1"/>
      <c r="M141" s="1"/>
      <c r="N141" s="1"/>
      <c r="O141" s="1"/>
      <c r="P141" s="1"/>
      <c r="Q141" s="1"/>
      <c r="R141" s="1"/>
      <c r="S141" s="1"/>
      <c r="T141" s="1"/>
      <c r="U141" s="1"/>
      <c r="V141" s="1"/>
      <c r="W141" s="1"/>
      <c r="X141" s="1"/>
      <c r="Y141" s="1"/>
      <c r="Z141" s="1"/>
    </row>
    <row r="142" ht="15.75" hidden="1" customHeight="1">
      <c r="A142" s="1"/>
      <c r="C142" s="186" t="str">
        <f t="shared" si="3"/>
        <v/>
      </c>
      <c r="D142" s="186" t="str">
        <f t="shared" si="4"/>
        <v/>
      </c>
      <c r="E142" s="1"/>
      <c r="F142" s="1"/>
      <c r="G142" s="1"/>
      <c r="H142" s="1"/>
      <c r="I142" s="1"/>
      <c r="J142" s="1"/>
      <c r="K142" s="1"/>
      <c r="L142" s="1"/>
      <c r="M142" s="1"/>
      <c r="N142" s="1"/>
      <c r="O142" s="1"/>
      <c r="P142" s="1"/>
      <c r="Q142" s="1"/>
      <c r="R142" s="1"/>
      <c r="S142" s="1"/>
      <c r="T142" s="1"/>
      <c r="U142" s="1"/>
      <c r="V142" s="1"/>
      <c r="W142" s="1"/>
      <c r="X142" s="1"/>
      <c r="Y142" s="1"/>
      <c r="Z142" s="1"/>
    </row>
    <row r="143" ht="15.75" hidden="1" customHeight="1">
      <c r="A143" s="1"/>
      <c r="C143" s="186" t="str">
        <f t="shared" si="3"/>
        <v/>
      </c>
      <c r="D143" s="186" t="str">
        <f t="shared" si="4"/>
        <v/>
      </c>
      <c r="E143" s="1"/>
      <c r="F143" s="1"/>
      <c r="G143" s="1"/>
      <c r="H143" s="1"/>
      <c r="I143" s="1"/>
      <c r="J143" s="1"/>
      <c r="K143" s="1"/>
      <c r="L143" s="1"/>
      <c r="M143" s="1"/>
      <c r="N143" s="1"/>
      <c r="O143" s="1"/>
      <c r="P143" s="1"/>
      <c r="Q143" s="1"/>
      <c r="R143" s="1"/>
      <c r="S143" s="1"/>
      <c r="T143" s="1"/>
      <c r="U143" s="1"/>
      <c r="V143" s="1"/>
      <c r="W143" s="1"/>
      <c r="X143" s="1"/>
      <c r="Y143" s="1"/>
      <c r="Z143" s="1"/>
    </row>
    <row r="144" ht="15.75" hidden="1" customHeight="1">
      <c r="A144" s="1"/>
      <c r="C144" s="186" t="str">
        <f t="shared" si="3"/>
        <v/>
      </c>
      <c r="D144" s="186" t="str">
        <f t="shared" si="4"/>
        <v/>
      </c>
      <c r="E144" s="1"/>
      <c r="F144" s="1"/>
      <c r="G144" s="1"/>
      <c r="H144" s="1"/>
      <c r="I144" s="1"/>
      <c r="J144" s="1"/>
      <c r="K144" s="1"/>
      <c r="L144" s="1"/>
      <c r="M144" s="1"/>
      <c r="N144" s="1"/>
      <c r="O144" s="1"/>
      <c r="P144" s="1"/>
      <c r="Q144" s="1"/>
      <c r="R144" s="1"/>
      <c r="S144" s="1"/>
      <c r="T144" s="1"/>
      <c r="U144" s="1"/>
      <c r="V144" s="1"/>
      <c r="W144" s="1"/>
      <c r="X144" s="1"/>
      <c r="Y144" s="1"/>
      <c r="Z144" s="1"/>
    </row>
    <row r="145" ht="15.75" hidden="1" customHeight="1">
      <c r="A145" s="1"/>
      <c r="C145" s="186" t="str">
        <f t="shared" si="3"/>
        <v/>
      </c>
      <c r="D145" s="186" t="str">
        <f t="shared" si="4"/>
        <v/>
      </c>
      <c r="E145" s="1"/>
      <c r="F145" s="1"/>
      <c r="G145" s="1"/>
      <c r="H145" s="1"/>
      <c r="I145" s="1"/>
      <c r="J145" s="1"/>
      <c r="K145" s="1"/>
      <c r="L145" s="1"/>
      <c r="M145" s="1"/>
      <c r="N145" s="1"/>
      <c r="O145" s="1"/>
      <c r="P145" s="1"/>
      <c r="Q145" s="1"/>
      <c r="R145" s="1"/>
      <c r="S145" s="1"/>
      <c r="T145" s="1"/>
      <c r="U145" s="1"/>
      <c r="V145" s="1"/>
      <c r="W145" s="1"/>
      <c r="X145" s="1"/>
      <c r="Y145" s="1"/>
      <c r="Z145" s="1"/>
    </row>
    <row r="146" ht="15.75" hidden="1" customHeight="1">
      <c r="A146" s="1"/>
      <c r="C146" s="186" t="str">
        <f t="shared" si="3"/>
        <v/>
      </c>
      <c r="D146" s="186" t="str">
        <f t="shared" si="4"/>
        <v/>
      </c>
      <c r="E146" s="1"/>
      <c r="F146" s="1"/>
      <c r="G146" s="1"/>
      <c r="H146" s="1"/>
      <c r="I146" s="1"/>
      <c r="J146" s="1"/>
      <c r="K146" s="1"/>
      <c r="L146" s="1"/>
      <c r="M146" s="1"/>
      <c r="N146" s="1"/>
      <c r="O146" s="1"/>
      <c r="P146" s="1"/>
      <c r="Q146" s="1"/>
      <c r="R146" s="1"/>
      <c r="S146" s="1"/>
      <c r="T146" s="1"/>
      <c r="U146" s="1"/>
      <c r="V146" s="1"/>
      <c r="W146" s="1"/>
      <c r="X146" s="1"/>
      <c r="Y146" s="1"/>
      <c r="Z146" s="1"/>
    </row>
    <row r="147" ht="15.75" hidden="1" customHeight="1">
      <c r="A147" s="1"/>
      <c r="C147" s="186" t="str">
        <f t="shared" si="3"/>
        <v/>
      </c>
      <c r="D147" s="186" t="str">
        <f t="shared" si="4"/>
        <v/>
      </c>
      <c r="E147" s="1"/>
      <c r="F147" s="1"/>
      <c r="G147" s="1"/>
      <c r="H147" s="1"/>
      <c r="I147" s="1"/>
      <c r="J147" s="1"/>
      <c r="K147" s="1"/>
      <c r="L147" s="1"/>
      <c r="M147" s="1"/>
      <c r="N147" s="1"/>
      <c r="O147" s="1"/>
      <c r="P147" s="1"/>
      <c r="Q147" s="1"/>
      <c r="R147" s="1"/>
      <c r="S147" s="1"/>
      <c r="T147" s="1"/>
      <c r="U147" s="1"/>
      <c r="V147" s="1"/>
      <c r="W147" s="1"/>
      <c r="X147" s="1"/>
      <c r="Y147" s="1"/>
      <c r="Z147" s="1"/>
    </row>
    <row r="148" ht="15.75" hidden="1" customHeight="1">
      <c r="A148" s="1"/>
      <c r="C148" s="186" t="str">
        <f t="shared" si="3"/>
        <v/>
      </c>
      <c r="D148" s="186" t="str">
        <f t="shared" si="4"/>
        <v/>
      </c>
      <c r="E148" s="1"/>
      <c r="F148" s="1"/>
      <c r="G148" s="1"/>
      <c r="H148" s="1"/>
      <c r="I148" s="1"/>
      <c r="J148" s="1"/>
      <c r="K148" s="1"/>
      <c r="L148" s="1"/>
      <c r="M148" s="1"/>
      <c r="N148" s="1"/>
      <c r="O148" s="1"/>
      <c r="P148" s="1"/>
      <c r="Q148" s="1"/>
      <c r="R148" s="1"/>
      <c r="S148" s="1"/>
      <c r="T148" s="1"/>
      <c r="U148" s="1"/>
      <c r="V148" s="1"/>
      <c r="W148" s="1"/>
      <c r="X148" s="1"/>
      <c r="Y148" s="1"/>
      <c r="Z148" s="1"/>
    </row>
    <row r="149" ht="15.75" hidden="1" customHeight="1">
      <c r="A149" s="1"/>
      <c r="C149" s="186" t="str">
        <f t="shared" si="3"/>
        <v/>
      </c>
      <c r="D149" s="186" t="str">
        <f t="shared" si="4"/>
        <v/>
      </c>
      <c r="E149" s="1"/>
      <c r="F149" s="1"/>
      <c r="G149" s="1"/>
      <c r="H149" s="1"/>
      <c r="I149" s="1"/>
      <c r="J149" s="1"/>
      <c r="K149" s="1"/>
      <c r="L149" s="1"/>
      <c r="M149" s="1"/>
      <c r="N149" s="1"/>
      <c r="O149" s="1"/>
      <c r="P149" s="1"/>
      <c r="Q149" s="1"/>
      <c r="R149" s="1"/>
      <c r="S149" s="1"/>
      <c r="T149" s="1"/>
      <c r="U149" s="1"/>
      <c r="V149" s="1"/>
      <c r="W149" s="1"/>
      <c r="X149" s="1"/>
      <c r="Y149" s="1"/>
      <c r="Z149" s="1"/>
    </row>
    <row r="150" ht="15.75" hidden="1" customHeight="1">
      <c r="A150" s="1"/>
      <c r="C150" s="186" t="str">
        <f t="shared" si="3"/>
        <v/>
      </c>
      <c r="D150" s="186" t="str">
        <f t="shared" si="4"/>
        <v/>
      </c>
      <c r="E150" s="1"/>
      <c r="F150" s="1"/>
      <c r="G150" s="1"/>
      <c r="H150" s="1"/>
      <c r="I150" s="1"/>
      <c r="J150" s="1"/>
      <c r="K150" s="1"/>
      <c r="L150" s="1"/>
      <c r="M150" s="1"/>
      <c r="N150" s="1"/>
      <c r="O150" s="1"/>
      <c r="P150" s="1"/>
      <c r="Q150" s="1"/>
      <c r="R150" s="1"/>
      <c r="S150" s="1"/>
      <c r="T150" s="1"/>
      <c r="U150" s="1"/>
      <c r="V150" s="1"/>
      <c r="W150" s="1"/>
      <c r="X150" s="1"/>
      <c r="Y150" s="1"/>
      <c r="Z150" s="1"/>
    </row>
    <row r="151" ht="15.75" hidden="1" customHeight="1">
      <c r="A151" s="1"/>
      <c r="C151" s="186" t="str">
        <f t="shared" si="3"/>
        <v/>
      </c>
      <c r="D151" s="186" t="str">
        <f t="shared" si="4"/>
        <v/>
      </c>
      <c r="E151" s="1"/>
      <c r="F151" s="1"/>
      <c r="G151" s="1"/>
      <c r="H151" s="1"/>
      <c r="I151" s="1"/>
      <c r="J151" s="1"/>
      <c r="K151" s="1"/>
      <c r="L151" s="1"/>
      <c r="M151" s="1"/>
      <c r="N151" s="1"/>
      <c r="O151" s="1"/>
      <c r="P151" s="1"/>
      <c r="Q151" s="1"/>
      <c r="R151" s="1"/>
      <c r="S151" s="1"/>
      <c r="T151" s="1"/>
      <c r="U151" s="1"/>
      <c r="V151" s="1"/>
      <c r="W151" s="1"/>
      <c r="X151" s="1"/>
      <c r="Y151" s="1"/>
      <c r="Z151" s="1"/>
    </row>
    <row r="152" ht="15.75" hidden="1" customHeight="1">
      <c r="A152" s="1"/>
      <c r="C152" s="186" t="str">
        <f t="shared" si="3"/>
        <v/>
      </c>
      <c r="D152" s="186" t="str">
        <f t="shared" si="4"/>
        <v/>
      </c>
      <c r="E152" s="1"/>
      <c r="F152" s="1"/>
      <c r="G152" s="1"/>
      <c r="H152" s="1"/>
      <c r="I152" s="1"/>
      <c r="J152" s="1"/>
      <c r="K152" s="1"/>
      <c r="L152" s="1"/>
      <c r="M152" s="1"/>
      <c r="N152" s="1"/>
      <c r="O152" s="1"/>
      <c r="P152" s="1"/>
      <c r="Q152" s="1"/>
      <c r="R152" s="1"/>
      <c r="S152" s="1"/>
      <c r="T152" s="1"/>
      <c r="U152" s="1"/>
      <c r="V152" s="1"/>
      <c r="W152" s="1"/>
      <c r="X152" s="1"/>
      <c r="Y152" s="1"/>
      <c r="Z152" s="1"/>
    </row>
    <row r="153" ht="15.75" hidden="1" customHeight="1">
      <c r="A153" s="1"/>
      <c r="C153" s="186" t="str">
        <f t="shared" si="3"/>
        <v/>
      </c>
      <c r="D153" s="186" t="str">
        <f t="shared" si="4"/>
        <v/>
      </c>
      <c r="E153" s="1"/>
      <c r="F153" s="1"/>
      <c r="G153" s="1"/>
      <c r="H153" s="1"/>
      <c r="I153" s="1"/>
      <c r="J153" s="1"/>
      <c r="K153" s="1"/>
      <c r="L153" s="1"/>
      <c r="M153" s="1"/>
      <c r="N153" s="1"/>
      <c r="O153" s="1"/>
      <c r="P153" s="1"/>
      <c r="Q153" s="1"/>
      <c r="R153" s="1"/>
      <c r="S153" s="1"/>
      <c r="T153" s="1"/>
      <c r="U153" s="1"/>
      <c r="V153" s="1"/>
      <c r="W153" s="1"/>
      <c r="X153" s="1"/>
      <c r="Y153" s="1"/>
      <c r="Z153" s="1"/>
    </row>
    <row r="154" ht="15.75" hidden="1" customHeight="1">
      <c r="A154" s="1"/>
      <c r="C154" s="186" t="str">
        <f t="shared" si="3"/>
        <v/>
      </c>
      <c r="D154" s="186" t="str">
        <f t="shared" si="4"/>
        <v/>
      </c>
      <c r="E154" s="1"/>
      <c r="F154" s="1"/>
      <c r="G154" s="1"/>
      <c r="H154" s="1"/>
      <c r="I154" s="1"/>
      <c r="J154" s="1"/>
      <c r="K154" s="1"/>
      <c r="L154" s="1"/>
      <c r="M154" s="1"/>
      <c r="N154" s="1"/>
      <c r="O154" s="1"/>
      <c r="P154" s="1"/>
      <c r="Q154" s="1"/>
      <c r="R154" s="1"/>
      <c r="S154" s="1"/>
      <c r="T154" s="1"/>
      <c r="U154" s="1"/>
      <c r="V154" s="1"/>
      <c r="W154" s="1"/>
      <c r="X154" s="1"/>
      <c r="Y154" s="1"/>
      <c r="Z154" s="1"/>
    </row>
    <row r="155" ht="15.75" hidden="1" customHeight="1">
      <c r="A155" s="1"/>
      <c r="C155" s="186" t="str">
        <f t="shared" si="3"/>
        <v/>
      </c>
      <c r="D155" s="186" t="str">
        <f t="shared" si="4"/>
        <v/>
      </c>
      <c r="E155" s="1"/>
      <c r="F155" s="1"/>
      <c r="G155" s="1"/>
      <c r="H155" s="1"/>
      <c r="I155" s="1"/>
      <c r="J155" s="1"/>
      <c r="K155" s="1"/>
      <c r="L155" s="1"/>
      <c r="M155" s="1"/>
      <c r="N155" s="1"/>
      <c r="O155" s="1"/>
      <c r="P155" s="1"/>
      <c r="Q155" s="1"/>
      <c r="R155" s="1"/>
      <c r="S155" s="1"/>
      <c r="T155" s="1"/>
      <c r="U155" s="1"/>
      <c r="V155" s="1"/>
      <c r="W155" s="1"/>
      <c r="X155" s="1"/>
      <c r="Y155" s="1"/>
      <c r="Z155" s="1"/>
    </row>
    <row r="156" ht="15.75" hidden="1" customHeight="1">
      <c r="A156" s="1"/>
      <c r="C156" s="186" t="str">
        <f t="shared" si="3"/>
        <v/>
      </c>
      <c r="D156" s="186" t="str">
        <f t="shared" si="4"/>
        <v/>
      </c>
      <c r="E156" s="1"/>
      <c r="F156" s="1"/>
      <c r="G156" s="1"/>
      <c r="H156" s="1"/>
      <c r="I156" s="1"/>
      <c r="J156" s="1"/>
      <c r="K156" s="1"/>
      <c r="L156" s="1"/>
      <c r="M156" s="1"/>
      <c r="N156" s="1"/>
      <c r="O156" s="1"/>
      <c r="P156" s="1"/>
      <c r="Q156" s="1"/>
      <c r="R156" s="1"/>
      <c r="S156" s="1"/>
      <c r="T156" s="1"/>
      <c r="U156" s="1"/>
      <c r="V156" s="1"/>
      <c r="W156" s="1"/>
      <c r="X156" s="1"/>
      <c r="Y156" s="1"/>
      <c r="Z156" s="1"/>
    </row>
    <row r="157" ht="15.75" hidden="1" customHeight="1">
      <c r="A157" s="1"/>
      <c r="C157" s="186" t="str">
        <f t="shared" si="3"/>
        <v/>
      </c>
      <c r="D157" s="186" t="str">
        <f t="shared" si="4"/>
        <v/>
      </c>
      <c r="E157" s="1"/>
      <c r="F157" s="1"/>
      <c r="G157" s="1"/>
      <c r="H157" s="1"/>
      <c r="I157" s="1"/>
      <c r="J157" s="1"/>
      <c r="K157" s="1"/>
      <c r="L157" s="1"/>
      <c r="M157" s="1"/>
      <c r="N157" s="1"/>
      <c r="O157" s="1"/>
      <c r="P157" s="1"/>
      <c r="Q157" s="1"/>
      <c r="R157" s="1"/>
      <c r="S157" s="1"/>
      <c r="T157" s="1"/>
      <c r="U157" s="1"/>
      <c r="V157" s="1"/>
      <c r="W157" s="1"/>
      <c r="X157" s="1"/>
      <c r="Y157" s="1"/>
      <c r="Z157" s="1"/>
    </row>
    <row r="158" ht="15.75" hidden="1" customHeight="1">
      <c r="A158" s="1"/>
      <c r="C158" s="186" t="str">
        <f t="shared" si="3"/>
        <v/>
      </c>
      <c r="D158" s="186" t="str">
        <f t="shared" si="4"/>
        <v/>
      </c>
      <c r="E158" s="1"/>
      <c r="F158" s="1"/>
      <c r="G158" s="1"/>
      <c r="H158" s="1"/>
      <c r="I158" s="1"/>
      <c r="J158" s="1"/>
      <c r="K158" s="1"/>
      <c r="L158" s="1"/>
      <c r="M158" s="1"/>
      <c r="N158" s="1"/>
      <c r="O158" s="1"/>
      <c r="P158" s="1"/>
      <c r="Q158" s="1"/>
      <c r="R158" s="1"/>
      <c r="S158" s="1"/>
      <c r="T158" s="1"/>
      <c r="U158" s="1"/>
      <c r="V158" s="1"/>
      <c r="W158" s="1"/>
      <c r="X158" s="1"/>
      <c r="Y158" s="1"/>
      <c r="Z158" s="1"/>
    </row>
    <row r="159" ht="15.75" hidden="1" customHeight="1">
      <c r="A159" s="1"/>
      <c r="C159" s="186" t="str">
        <f t="shared" si="3"/>
        <v/>
      </c>
      <c r="D159" s="186" t="str">
        <f t="shared" si="4"/>
        <v/>
      </c>
      <c r="E159" s="1"/>
      <c r="F159" s="1"/>
      <c r="G159" s="1"/>
      <c r="H159" s="1"/>
      <c r="I159" s="1"/>
      <c r="J159" s="1"/>
      <c r="K159" s="1"/>
      <c r="L159" s="1"/>
      <c r="M159" s="1"/>
      <c r="N159" s="1"/>
      <c r="O159" s="1"/>
      <c r="P159" s="1"/>
      <c r="Q159" s="1"/>
      <c r="R159" s="1"/>
      <c r="S159" s="1"/>
      <c r="T159" s="1"/>
      <c r="U159" s="1"/>
      <c r="V159" s="1"/>
      <c r="W159" s="1"/>
      <c r="X159" s="1"/>
      <c r="Y159" s="1"/>
      <c r="Z159" s="1"/>
    </row>
    <row r="160" ht="15.75" hidden="1" customHeight="1">
      <c r="A160" s="1"/>
      <c r="C160" s="186" t="str">
        <f t="shared" si="3"/>
        <v/>
      </c>
      <c r="D160" s="186" t="str">
        <f t="shared" si="4"/>
        <v/>
      </c>
      <c r="E160" s="1"/>
      <c r="F160" s="1"/>
      <c r="G160" s="1"/>
      <c r="H160" s="1"/>
      <c r="I160" s="1"/>
      <c r="J160" s="1"/>
      <c r="K160" s="1"/>
      <c r="L160" s="1"/>
      <c r="M160" s="1"/>
      <c r="N160" s="1"/>
      <c r="O160" s="1"/>
      <c r="P160" s="1"/>
      <c r="Q160" s="1"/>
      <c r="R160" s="1"/>
      <c r="S160" s="1"/>
      <c r="T160" s="1"/>
      <c r="U160" s="1"/>
      <c r="V160" s="1"/>
      <c r="W160" s="1"/>
      <c r="X160" s="1"/>
      <c r="Y160" s="1"/>
      <c r="Z160" s="1"/>
    </row>
    <row r="161" ht="15.75" hidden="1" customHeight="1">
      <c r="A161" s="1"/>
      <c r="C161" s="186" t="str">
        <f t="shared" si="3"/>
        <v/>
      </c>
      <c r="D161" s="186" t="str">
        <f t="shared" si="4"/>
        <v/>
      </c>
      <c r="E161" s="1"/>
      <c r="F161" s="1"/>
      <c r="G161" s="1"/>
      <c r="H161" s="1"/>
      <c r="I161" s="1"/>
      <c r="J161" s="1"/>
      <c r="K161" s="1"/>
      <c r="L161" s="1"/>
      <c r="M161" s="1"/>
      <c r="N161" s="1"/>
      <c r="O161" s="1"/>
      <c r="P161" s="1"/>
      <c r="Q161" s="1"/>
      <c r="R161" s="1"/>
      <c r="S161" s="1"/>
      <c r="T161" s="1"/>
      <c r="U161" s="1"/>
      <c r="V161" s="1"/>
      <c r="W161" s="1"/>
      <c r="X161" s="1"/>
      <c r="Y161" s="1"/>
      <c r="Z161" s="1"/>
    </row>
    <row r="162" ht="15.75" hidden="1" customHeight="1">
      <c r="A162" s="1"/>
      <c r="C162" s="186" t="str">
        <f t="shared" si="3"/>
        <v/>
      </c>
      <c r="D162" s="186" t="str">
        <f t="shared" si="4"/>
        <v/>
      </c>
      <c r="E162" s="1"/>
      <c r="F162" s="1"/>
      <c r="G162" s="1"/>
      <c r="H162" s="1"/>
      <c r="I162" s="1"/>
      <c r="J162" s="1"/>
      <c r="K162" s="1"/>
      <c r="L162" s="1"/>
      <c r="M162" s="1"/>
      <c r="N162" s="1"/>
      <c r="O162" s="1"/>
      <c r="P162" s="1"/>
      <c r="Q162" s="1"/>
      <c r="R162" s="1"/>
      <c r="S162" s="1"/>
      <c r="T162" s="1"/>
      <c r="U162" s="1"/>
      <c r="V162" s="1"/>
      <c r="W162" s="1"/>
      <c r="X162" s="1"/>
      <c r="Y162" s="1"/>
      <c r="Z162" s="1"/>
    </row>
    <row r="163" ht="15.75" hidden="1" customHeight="1">
      <c r="A163" s="1"/>
      <c r="C163" s="186" t="str">
        <f t="shared" si="3"/>
        <v/>
      </c>
      <c r="D163" s="186" t="str">
        <f t="shared" si="4"/>
        <v/>
      </c>
      <c r="E163" s="1"/>
      <c r="F163" s="1"/>
      <c r="G163" s="1"/>
      <c r="H163" s="1"/>
      <c r="I163" s="1"/>
      <c r="J163" s="1"/>
      <c r="K163" s="1"/>
      <c r="L163" s="1"/>
      <c r="M163" s="1"/>
      <c r="N163" s="1"/>
      <c r="O163" s="1"/>
      <c r="P163" s="1"/>
      <c r="Q163" s="1"/>
      <c r="R163" s="1"/>
      <c r="S163" s="1"/>
      <c r="T163" s="1"/>
      <c r="U163" s="1"/>
      <c r="V163" s="1"/>
      <c r="W163" s="1"/>
      <c r="X163" s="1"/>
      <c r="Y163" s="1"/>
      <c r="Z163" s="1"/>
    </row>
    <row r="164" ht="15.75" hidden="1" customHeight="1">
      <c r="A164" s="1"/>
      <c r="C164" s="186" t="str">
        <f t="shared" si="3"/>
        <v/>
      </c>
      <c r="D164" s="186" t="str">
        <f t="shared" si="4"/>
        <v/>
      </c>
      <c r="E164" s="1"/>
      <c r="F164" s="1"/>
      <c r="G164" s="1"/>
      <c r="H164" s="1"/>
      <c r="I164" s="1"/>
      <c r="J164" s="1"/>
      <c r="K164" s="1"/>
      <c r="L164" s="1"/>
      <c r="M164" s="1"/>
      <c r="N164" s="1"/>
      <c r="O164" s="1"/>
      <c r="P164" s="1"/>
      <c r="Q164" s="1"/>
      <c r="R164" s="1"/>
      <c r="S164" s="1"/>
      <c r="T164" s="1"/>
      <c r="U164" s="1"/>
      <c r="V164" s="1"/>
      <c r="W164" s="1"/>
      <c r="X164" s="1"/>
      <c r="Y164" s="1"/>
      <c r="Z164" s="1"/>
    </row>
    <row r="165" ht="15.75" hidden="1" customHeight="1">
      <c r="A165" s="1"/>
      <c r="C165" s="186" t="str">
        <f t="shared" si="3"/>
        <v/>
      </c>
      <c r="D165" s="186" t="str">
        <f t="shared" si="4"/>
        <v/>
      </c>
      <c r="E165" s="1"/>
      <c r="F165" s="1"/>
      <c r="G165" s="1"/>
      <c r="H165" s="1"/>
      <c r="I165" s="1"/>
      <c r="J165" s="1"/>
      <c r="K165" s="1"/>
      <c r="L165" s="1"/>
      <c r="M165" s="1"/>
      <c r="N165" s="1"/>
      <c r="O165" s="1"/>
      <c r="P165" s="1"/>
      <c r="Q165" s="1"/>
      <c r="R165" s="1"/>
      <c r="S165" s="1"/>
      <c r="T165" s="1"/>
      <c r="U165" s="1"/>
      <c r="V165" s="1"/>
      <c r="W165" s="1"/>
      <c r="X165" s="1"/>
      <c r="Y165" s="1"/>
      <c r="Z165" s="1"/>
    </row>
    <row r="166" ht="15.75" hidden="1" customHeight="1">
      <c r="A166" s="1"/>
      <c r="C166" s="186" t="str">
        <f t="shared" si="3"/>
        <v/>
      </c>
      <c r="D166" s="186" t="str">
        <f t="shared" si="4"/>
        <v/>
      </c>
      <c r="E166" s="1"/>
      <c r="F166" s="1"/>
      <c r="G166" s="1"/>
      <c r="H166" s="1"/>
      <c r="I166" s="1"/>
      <c r="J166" s="1"/>
      <c r="K166" s="1"/>
      <c r="L166" s="1"/>
      <c r="M166" s="1"/>
      <c r="N166" s="1"/>
      <c r="O166" s="1"/>
      <c r="P166" s="1"/>
      <c r="Q166" s="1"/>
      <c r="R166" s="1"/>
      <c r="S166" s="1"/>
      <c r="T166" s="1"/>
      <c r="U166" s="1"/>
      <c r="V166" s="1"/>
      <c r="W166" s="1"/>
      <c r="X166" s="1"/>
      <c r="Y166" s="1"/>
      <c r="Z166" s="1"/>
    </row>
    <row r="167" ht="15.75" hidden="1" customHeight="1">
      <c r="A167" s="1"/>
      <c r="C167" s="186" t="str">
        <f t="shared" si="3"/>
        <v/>
      </c>
      <c r="D167" s="186" t="str">
        <f t="shared" si="4"/>
        <v/>
      </c>
      <c r="E167" s="1"/>
      <c r="F167" s="1"/>
      <c r="G167" s="1"/>
      <c r="H167" s="1"/>
      <c r="I167" s="1"/>
      <c r="J167" s="1"/>
      <c r="K167" s="1"/>
      <c r="L167" s="1"/>
      <c r="M167" s="1"/>
      <c r="N167" s="1"/>
      <c r="O167" s="1"/>
      <c r="P167" s="1"/>
      <c r="Q167" s="1"/>
      <c r="R167" s="1"/>
      <c r="S167" s="1"/>
      <c r="T167" s="1"/>
      <c r="U167" s="1"/>
      <c r="V167" s="1"/>
      <c r="W167" s="1"/>
      <c r="X167" s="1"/>
      <c r="Y167" s="1"/>
      <c r="Z167" s="1"/>
    </row>
    <row r="168" ht="15.75" hidden="1" customHeight="1">
      <c r="A168" s="1"/>
      <c r="C168" s="186" t="str">
        <f t="shared" si="3"/>
        <v/>
      </c>
      <c r="D168" s="186" t="str">
        <f t="shared" si="4"/>
        <v/>
      </c>
      <c r="E168" s="1"/>
      <c r="F168" s="1"/>
      <c r="G168" s="1"/>
      <c r="H168" s="1"/>
      <c r="I168" s="1"/>
      <c r="J168" s="1"/>
      <c r="K168" s="1"/>
      <c r="L168" s="1"/>
      <c r="M168" s="1"/>
      <c r="N168" s="1"/>
      <c r="O168" s="1"/>
      <c r="P168" s="1"/>
      <c r="Q168" s="1"/>
      <c r="R168" s="1"/>
      <c r="S168" s="1"/>
      <c r="T168" s="1"/>
      <c r="U168" s="1"/>
      <c r="V168" s="1"/>
      <c r="W168" s="1"/>
      <c r="X168" s="1"/>
      <c r="Y168" s="1"/>
      <c r="Z168" s="1"/>
    </row>
    <row r="169" ht="15.75" hidden="1" customHeight="1">
      <c r="A169" s="1"/>
      <c r="C169" s="186" t="str">
        <f t="shared" si="3"/>
        <v/>
      </c>
      <c r="D169" s="186" t="str">
        <f t="shared" si="4"/>
        <v/>
      </c>
      <c r="E169" s="1"/>
      <c r="F169" s="1"/>
      <c r="G169" s="1"/>
      <c r="H169" s="1"/>
      <c r="I169" s="1"/>
      <c r="J169" s="1"/>
      <c r="K169" s="1"/>
      <c r="L169" s="1"/>
      <c r="M169" s="1"/>
      <c r="N169" s="1"/>
      <c r="O169" s="1"/>
      <c r="P169" s="1"/>
      <c r="Q169" s="1"/>
      <c r="R169" s="1"/>
      <c r="S169" s="1"/>
      <c r="T169" s="1"/>
      <c r="U169" s="1"/>
      <c r="V169" s="1"/>
      <c r="W169" s="1"/>
      <c r="X169" s="1"/>
      <c r="Y169" s="1"/>
      <c r="Z169" s="1"/>
    </row>
    <row r="170" ht="15.75" hidden="1" customHeight="1">
      <c r="A170" s="1"/>
      <c r="C170" s="186" t="str">
        <f t="shared" si="3"/>
        <v/>
      </c>
      <c r="D170" s="186" t="str">
        <f t="shared" si="4"/>
        <v/>
      </c>
      <c r="E170" s="1"/>
      <c r="F170" s="1"/>
      <c r="G170" s="1"/>
      <c r="H170" s="1"/>
      <c r="I170" s="1"/>
      <c r="J170" s="1"/>
      <c r="K170" s="1"/>
      <c r="L170" s="1"/>
      <c r="M170" s="1"/>
      <c r="N170" s="1"/>
      <c r="O170" s="1"/>
      <c r="P170" s="1"/>
      <c r="Q170" s="1"/>
      <c r="R170" s="1"/>
      <c r="S170" s="1"/>
      <c r="T170" s="1"/>
      <c r="U170" s="1"/>
      <c r="V170" s="1"/>
      <c r="W170" s="1"/>
      <c r="X170" s="1"/>
      <c r="Y170" s="1"/>
      <c r="Z170" s="1"/>
    </row>
    <row r="171" ht="15.75" hidden="1" customHeight="1">
      <c r="A171" s="1"/>
      <c r="C171" s="186" t="str">
        <f t="shared" si="3"/>
        <v/>
      </c>
      <c r="D171" s="186" t="str">
        <f t="shared" si="4"/>
        <v/>
      </c>
      <c r="E171" s="1"/>
      <c r="F171" s="1"/>
      <c r="G171" s="1"/>
      <c r="H171" s="1"/>
      <c r="I171" s="1"/>
      <c r="J171" s="1"/>
      <c r="K171" s="1"/>
      <c r="L171" s="1"/>
      <c r="M171" s="1"/>
      <c r="N171" s="1"/>
      <c r="O171" s="1"/>
      <c r="P171" s="1"/>
      <c r="Q171" s="1"/>
      <c r="R171" s="1"/>
      <c r="S171" s="1"/>
      <c r="T171" s="1"/>
      <c r="U171" s="1"/>
      <c r="V171" s="1"/>
      <c r="W171" s="1"/>
      <c r="X171" s="1"/>
      <c r="Y171" s="1"/>
      <c r="Z171" s="1"/>
    </row>
    <row r="172" ht="15.75" hidden="1" customHeight="1">
      <c r="A172" s="1"/>
      <c r="C172" s="186" t="str">
        <f t="shared" si="3"/>
        <v/>
      </c>
      <c r="D172" s="186" t="str">
        <f t="shared" si="4"/>
        <v/>
      </c>
      <c r="E172" s="1"/>
      <c r="F172" s="1"/>
      <c r="G172" s="1"/>
      <c r="H172" s="1"/>
      <c r="I172" s="1"/>
      <c r="J172" s="1"/>
      <c r="K172" s="1"/>
      <c r="L172" s="1"/>
      <c r="M172" s="1"/>
      <c r="N172" s="1"/>
      <c r="O172" s="1"/>
      <c r="P172" s="1"/>
      <c r="Q172" s="1"/>
      <c r="R172" s="1"/>
      <c r="S172" s="1"/>
      <c r="T172" s="1"/>
      <c r="U172" s="1"/>
      <c r="V172" s="1"/>
      <c r="W172" s="1"/>
      <c r="X172" s="1"/>
      <c r="Y172" s="1"/>
      <c r="Z172" s="1"/>
    </row>
    <row r="173" ht="15.75" hidden="1" customHeight="1">
      <c r="A173" s="1"/>
      <c r="C173" s="186" t="str">
        <f t="shared" si="3"/>
        <v/>
      </c>
      <c r="D173" s="186" t="str">
        <f t="shared" si="4"/>
        <v/>
      </c>
      <c r="E173" s="1"/>
      <c r="F173" s="1"/>
      <c r="G173" s="1"/>
      <c r="H173" s="1"/>
      <c r="I173" s="1"/>
      <c r="J173" s="1"/>
      <c r="K173" s="1"/>
      <c r="L173" s="1"/>
      <c r="M173" s="1"/>
      <c r="N173" s="1"/>
      <c r="O173" s="1"/>
      <c r="P173" s="1"/>
      <c r="Q173" s="1"/>
      <c r="R173" s="1"/>
      <c r="S173" s="1"/>
      <c r="T173" s="1"/>
      <c r="U173" s="1"/>
      <c r="V173" s="1"/>
      <c r="W173" s="1"/>
      <c r="X173" s="1"/>
      <c r="Y173" s="1"/>
      <c r="Z173" s="1"/>
    </row>
    <row r="174" ht="15.75" hidden="1" customHeight="1">
      <c r="A174" s="1"/>
      <c r="C174" s="186" t="str">
        <f t="shared" si="3"/>
        <v/>
      </c>
      <c r="D174" s="186" t="str">
        <f t="shared" si="4"/>
        <v/>
      </c>
      <c r="E174" s="1"/>
      <c r="F174" s="1"/>
      <c r="G174" s="1"/>
      <c r="H174" s="1"/>
      <c r="I174" s="1"/>
      <c r="J174" s="1"/>
      <c r="K174" s="1"/>
      <c r="L174" s="1"/>
      <c r="M174" s="1"/>
      <c r="N174" s="1"/>
      <c r="O174" s="1"/>
      <c r="P174" s="1"/>
      <c r="Q174" s="1"/>
      <c r="R174" s="1"/>
      <c r="S174" s="1"/>
      <c r="T174" s="1"/>
      <c r="U174" s="1"/>
      <c r="V174" s="1"/>
      <c r="W174" s="1"/>
      <c r="X174" s="1"/>
      <c r="Y174" s="1"/>
      <c r="Z174" s="1"/>
    </row>
    <row r="175" ht="15.75" hidden="1" customHeight="1">
      <c r="A175" s="1"/>
      <c r="C175" s="186" t="str">
        <f t="shared" si="3"/>
        <v/>
      </c>
      <c r="D175" s="186" t="str">
        <f t="shared" si="4"/>
        <v/>
      </c>
      <c r="E175" s="1"/>
      <c r="F175" s="1"/>
      <c r="G175" s="1"/>
      <c r="H175" s="1"/>
      <c r="I175" s="1"/>
      <c r="J175" s="1"/>
      <c r="K175" s="1"/>
      <c r="L175" s="1"/>
      <c r="M175" s="1"/>
      <c r="N175" s="1"/>
      <c r="O175" s="1"/>
      <c r="P175" s="1"/>
      <c r="Q175" s="1"/>
      <c r="R175" s="1"/>
      <c r="S175" s="1"/>
      <c r="T175" s="1"/>
      <c r="U175" s="1"/>
      <c r="V175" s="1"/>
      <c r="W175" s="1"/>
      <c r="X175" s="1"/>
      <c r="Y175" s="1"/>
      <c r="Z175" s="1"/>
    </row>
    <row r="176" ht="15.75" hidden="1" customHeight="1">
      <c r="A176" s="1"/>
      <c r="C176" s="186" t="str">
        <f t="shared" si="3"/>
        <v/>
      </c>
      <c r="D176" s="186" t="str">
        <f t="shared" si="4"/>
        <v/>
      </c>
      <c r="E176" s="1"/>
      <c r="F176" s="1"/>
      <c r="G176" s="1"/>
      <c r="H176" s="1"/>
      <c r="I176" s="1"/>
      <c r="J176" s="1"/>
      <c r="K176" s="1"/>
      <c r="L176" s="1"/>
      <c r="M176" s="1"/>
      <c r="N176" s="1"/>
      <c r="O176" s="1"/>
      <c r="P176" s="1"/>
      <c r="Q176" s="1"/>
      <c r="R176" s="1"/>
      <c r="S176" s="1"/>
      <c r="T176" s="1"/>
      <c r="U176" s="1"/>
      <c r="V176" s="1"/>
      <c r="W176" s="1"/>
      <c r="X176" s="1"/>
      <c r="Y176" s="1"/>
      <c r="Z176" s="1"/>
    </row>
    <row r="177" ht="15.75" hidden="1" customHeight="1">
      <c r="A177" s="1"/>
      <c r="C177" s="186" t="str">
        <f t="shared" si="3"/>
        <v/>
      </c>
      <c r="D177" s="186" t="str">
        <f t="shared" si="4"/>
        <v/>
      </c>
      <c r="E177" s="1"/>
      <c r="F177" s="1"/>
      <c r="G177" s="1"/>
      <c r="H177" s="1"/>
      <c r="I177" s="1"/>
      <c r="J177" s="1"/>
      <c r="K177" s="1"/>
      <c r="L177" s="1"/>
      <c r="M177" s="1"/>
      <c r="N177" s="1"/>
      <c r="O177" s="1"/>
      <c r="P177" s="1"/>
      <c r="Q177" s="1"/>
      <c r="R177" s="1"/>
      <c r="S177" s="1"/>
      <c r="T177" s="1"/>
      <c r="U177" s="1"/>
      <c r="V177" s="1"/>
      <c r="W177" s="1"/>
      <c r="X177" s="1"/>
      <c r="Y177" s="1"/>
      <c r="Z177" s="1"/>
    </row>
    <row r="178" ht="15.75" hidden="1" customHeight="1">
      <c r="A178" s="1"/>
      <c r="C178" s="186" t="str">
        <f t="shared" si="3"/>
        <v/>
      </c>
      <c r="D178" s="186" t="str">
        <f t="shared" si="4"/>
        <v/>
      </c>
      <c r="E178" s="1"/>
      <c r="F178" s="1"/>
      <c r="G178" s="1"/>
      <c r="H178" s="1"/>
      <c r="I178" s="1"/>
      <c r="J178" s="1"/>
      <c r="K178" s="1"/>
      <c r="L178" s="1"/>
      <c r="M178" s="1"/>
      <c r="N178" s="1"/>
      <c r="O178" s="1"/>
      <c r="P178" s="1"/>
      <c r="Q178" s="1"/>
      <c r="R178" s="1"/>
      <c r="S178" s="1"/>
      <c r="T178" s="1"/>
      <c r="U178" s="1"/>
      <c r="V178" s="1"/>
      <c r="W178" s="1"/>
      <c r="X178" s="1"/>
      <c r="Y178" s="1"/>
      <c r="Z178" s="1"/>
    </row>
    <row r="179" ht="15.75" hidden="1" customHeight="1">
      <c r="A179" s="1"/>
      <c r="C179" s="186" t="str">
        <f t="shared" si="3"/>
        <v/>
      </c>
      <c r="D179" s="186" t="str">
        <f t="shared" si="4"/>
        <v/>
      </c>
      <c r="E179" s="1"/>
      <c r="F179" s="1"/>
      <c r="G179" s="1"/>
      <c r="H179" s="1"/>
      <c r="I179" s="1"/>
      <c r="J179" s="1"/>
      <c r="K179" s="1"/>
      <c r="L179" s="1"/>
      <c r="M179" s="1"/>
      <c r="N179" s="1"/>
      <c r="O179" s="1"/>
      <c r="P179" s="1"/>
      <c r="Q179" s="1"/>
      <c r="R179" s="1"/>
      <c r="S179" s="1"/>
      <c r="T179" s="1"/>
      <c r="U179" s="1"/>
      <c r="V179" s="1"/>
      <c r="W179" s="1"/>
      <c r="X179" s="1"/>
      <c r="Y179" s="1"/>
      <c r="Z179" s="1"/>
    </row>
    <row r="180" ht="15.75" hidden="1" customHeight="1">
      <c r="A180" s="1"/>
      <c r="C180" s="186" t="str">
        <f t="shared" si="3"/>
        <v/>
      </c>
      <c r="D180" s="186" t="str">
        <f t="shared" si="4"/>
        <v/>
      </c>
      <c r="E180" s="1"/>
      <c r="F180" s="1"/>
      <c r="G180" s="1"/>
      <c r="H180" s="1"/>
      <c r="I180" s="1"/>
      <c r="J180" s="1"/>
      <c r="K180" s="1"/>
      <c r="L180" s="1"/>
      <c r="M180" s="1"/>
      <c r="N180" s="1"/>
      <c r="O180" s="1"/>
      <c r="P180" s="1"/>
      <c r="Q180" s="1"/>
      <c r="R180" s="1"/>
      <c r="S180" s="1"/>
      <c r="T180" s="1"/>
      <c r="U180" s="1"/>
      <c r="V180" s="1"/>
      <c r="W180" s="1"/>
      <c r="X180" s="1"/>
      <c r="Y180" s="1"/>
      <c r="Z180" s="1"/>
    </row>
    <row r="181" ht="15.75" hidden="1" customHeight="1">
      <c r="A181" s="1"/>
      <c r="C181" s="186" t="str">
        <f t="shared" si="3"/>
        <v/>
      </c>
      <c r="D181" s="186" t="str">
        <f t="shared" si="4"/>
        <v/>
      </c>
      <c r="E181" s="1"/>
      <c r="F181" s="1"/>
      <c r="G181" s="1"/>
      <c r="H181" s="1"/>
      <c r="I181" s="1"/>
      <c r="J181" s="1"/>
      <c r="K181" s="1"/>
      <c r="L181" s="1"/>
      <c r="M181" s="1"/>
      <c r="N181" s="1"/>
      <c r="O181" s="1"/>
      <c r="P181" s="1"/>
      <c r="Q181" s="1"/>
      <c r="R181" s="1"/>
      <c r="S181" s="1"/>
      <c r="T181" s="1"/>
      <c r="U181" s="1"/>
      <c r="V181" s="1"/>
      <c r="W181" s="1"/>
      <c r="X181" s="1"/>
      <c r="Y181" s="1"/>
      <c r="Z181" s="1"/>
    </row>
    <row r="182" ht="15.75" hidden="1" customHeight="1">
      <c r="A182" s="1"/>
      <c r="C182" s="186" t="str">
        <f t="shared" si="3"/>
        <v/>
      </c>
      <c r="D182" s="186" t="str">
        <f t="shared" si="4"/>
        <v/>
      </c>
      <c r="E182" s="1"/>
      <c r="F182" s="1"/>
      <c r="G182" s="1"/>
      <c r="H182" s="1"/>
      <c r="I182" s="1"/>
      <c r="J182" s="1"/>
      <c r="K182" s="1"/>
      <c r="L182" s="1"/>
      <c r="M182" s="1"/>
      <c r="N182" s="1"/>
      <c r="O182" s="1"/>
      <c r="P182" s="1"/>
      <c r="Q182" s="1"/>
      <c r="R182" s="1"/>
      <c r="S182" s="1"/>
      <c r="T182" s="1"/>
      <c r="U182" s="1"/>
      <c r="V182" s="1"/>
      <c r="W182" s="1"/>
      <c r="X182" s="1"/>
      <c r="Y182" s="1"/>
      <c r="Z182" s="1"/>
    </row>
    <row r="183" ht="15.75" hidden="1" customHeight="1">
      <c r="A183" s="1"/>
      <c r="C183" s="186" t="str">
        <f t="shared" si="3"/>
        <v/>
      </c>
      <c r="D183" s="186" t="str">
        <f t="shared" si="4"/>
        <v/>
      </c>
      <c r="E183" s="1"/>
      <c r="F183" s="1"/>
      <c r="G183" s="1"/>
      <c r="H183" s="1"/>
      <c r="I183" s="1"/>
      <c r="J183" s="1"/>
      <c r="K183" s="1"/>
      <c r="L183" s="1"/>
      <c r="M183" s="1"/>
      <c r="N183" s="1"/>
      <c r="O183" s="1"/>
      <c r="P183" s="1"/>
      <c r="Q183" s="1"/>
      <c r="R183" s="1"/>
      <c r="S183" s="1"/>
      <c r="T183" s="1"/>
      <c r="U183" s="1"/>
      <c r="V183" s="1"/>
      <c r="W183" s="1"/>
      <c r="X183" s="1"/>
      <c r="Y183" s="1"/>
      <c r="Z183" s="1"/>
    </row>
    <row r="184" ht="15.75" hidden="1" customHeight="1">
      <c r="A184" s="1"/>
      <c r="C184" s="186" t="str">
        <f t="shared" si="3"/>
        <v/>
      </c>
      <c r="D184" s="186" t="str">
        <f t="shared" si="4"/>
        <v/>
      </c>
      <c r="E184" s="1"/>
      <c r="F184" s="1"/>
      <c r="G184" s="1"/>
      <c r="H184" s="1"/>
      <c r="I184" s="1"/>
      <c r="J184" s="1"/>
      <c r="K184" s="1"/>
      <c r="L184" s="1"/>
      <c r="M184" s="1"/>
      <c r="N184" s="1"/>
      <c r="O184" s="1"/>
      <c r="P184" s="1"/>
      <c r="Q184" s="1"/>
      <c r="R184" s="1"/>
      <c r="S184" s="1"/>
      <c r="T184" s="1"/>
      <c r="U184" s="1"/>
      <c r="V184" s="1"/>
      <c r="W184" s="1"/>
      <c r="X184" s="1"/>
      <c r="Y184" s="1"/>
      <c r="Z184" s="1"/>
    </row>
    <row r="185" ht="15.75" hidden="1" customHeight="1">
      <c r="A185" s="1"/>
      <c r="C185" s="186" t="str">
        <f t="shared" si="3"/>
        <v/>
      </c>
      <c r="D185" s="186" t="str">
        <f t="shared" si="4"/>
        <v/>
      </c>
      <c r="E185" s="1"/>
      <c r="F185" s="1"/>
      <c r="G185" s="1"/>
      <c r="H185" s="1"/>
      <c r="I185" s="1"/>
      <c r="J185" s="1"/>
      <c r="K185" s="1"/>
      <c r="L185" s="1"/>
      <c r="M185" s="1"/>
      <c r="N185" s="1"/>
      <c r="O185" s="1"/>
      <c r="P185" s="1"/>
      <c r="Q185" s="1"/>
      <c r="R185" s="1"/>
      <c r="S185" s="1"/>
      <c r="T185" s="1"/>
      <c r="U185" s="1"/>
      <c r="V185" s="1"/>
      <c r="W185" s="1"/>
      <c r="X185" s="1"/>
      <c r="Y185" s="1"/>
      <c r="Z185" s="1"/>
    </row>
    <row r="186" ht="15.75" hidden="1" customHeight="1">
      <c r="A186" s="1"/>
      <c r="C186" s="186" t="str">
        <f t="shared" si="3"/>
        <v/>
      </c>
      <c r="D186" s="186" t="str">
        <f t="shared" si="4"/>
        <v/>
      </c>
      <c r="E186" s="1"/>
      <c r="F186" s="1"/>
      <c r="G186" s="1"/>
      <c r="H186" s="1"/>
      <c r="I186" s="1"/>
      <c r="J186" s="1"/>
      <c r="K186" s="1"/>
      <c r="L186" s="1"/>
      <c r="M186" s="1"/>
      <c r="N186" s="1"/>
      <c r="O186" s="1"/>
      <c r="P186" s="1"/>
      <c r="Q186" s="1"/>
      <c r="R186" s="1"/>
      <c r="S186" s="1"/>
      <c r="T186" s="1"/>
      <c r="U186" s="1"/>
      <c r="V186" s="1"/>
      <c r="W186" s="1"/>
      <c r="X186" s="1"/>
      <c r="Y186" s="1"/>
      <c r="Z186" s="1"/>
    </row>
    <row r="187" ht="15.75" hidden="1" customHeight="1">
      <c r="A187" s="1"/>
      <c r="C187" s="186" t="str">
        <f t="shared" si="3"/>
        <v/>
      </c>
      <c r="D187" s="186" t="str">
        <f t="shared" si="4"/>
        <v/>
      </c>
      <c r="E187" s="1"/>
      <c r="F187" s="1"/>
      <c r="G187" s="1"/>
      <c r="H187" s="1"/>
      <c r="I187" s="1"/>
      <c r="J187" s="1"/>
      <c r="K187" s="1"/>
      <c r="L187" s="1"/>
      <c r="M187" s="1"/>
      <c r="N187" s="1"/>
      <c r="O187" s="1"/>
      <c r="P187" s="1"/>
      <c r="Q187" s="1"/>
      <c r="R187" s="1"/>
      <c r="S187" s="1"/>
      <c r="T187" s="1"/>
      <c r="U187" s="1"/>
      <c r="V187" s="1"/>
      <c r="W187" s="1"/>
      <c r="X187" s="1"/>
      <c r="Y187" s="1"/>
      <c r="Z187" s="1"/>
    </row>
    <row r="188" ht="15.75" hidden="1" customHeight="1">
      <c r="A188" s="1"/>
      <c r="C188" s="186" t="str">
        <f t="shared" si="3"/>
        <v/>
      </c>
      <c r="D188" s="186" t="str">
        <f t="shared" si="4"/>
        <v/>
      </c>
      <c r="E188" s="1"/>
      <c r="F188" s="1"/>
      <c r="G188" s="1"/>
      <c r="H188" s="1"/>
      <c r="I188" s="1"/>
      <c r="J188" s="1"/>
      <c r="K188" s="1"/>
      <c r="L188" s="1"/>
      <c r="M188" s="1"/>
      <c r="N188" s="1"/>
      <c r="O188" s="1"/>
      <c r="P188" s="1"/>
      <c r="Q188" s="1"/>
      <c r="R188" s="1"/>
      <c r="S188" s="1"/>
      <c r="T188" s="1"/>
      <c r="U188" s="1"/>
      <c r="V188" s="1"/>
      <c r="W188" s="1"/>
      <c r="X188" s="1"/>
      <c r="Y188" s="1"/>
      <c r="Z188" s="1"/>
    </row>
    <row r="189" ht="15.75" hidden="1" customHeight="1">
      <c r="A189" s="1"/>
      <c r="C189" s="186" t="str">
        <f t="shared" si="3"/>
        <v/>
      </c>
      <c r="D189" s="186" t="str">
        <f t="shared" si="4"/>
        <v/>
      </c>
      <c r="E189" s="1"/>
      <c r="F189" s="1"/>
      <c r="G189" s="1"/>
      <c r="H189" s="1"/>
      <c r="I189" s="1"/>
      <c r="J189" s="1"/>
      <c r="K189" s="1"/>
      <c r="L189" s="1"/>
      <c r="M189" s="1"/>
      <c r="N189" s="1"/>
      <c r="O189" s="1"/>
      <c r="P189" s="1"/>
      <c r="Q189" s="1"/>
      <c r="R189" s="1"/>
      <c r="S189" s="1"/>
      <c r="T189" s="1"/>
      <c r="U189" s="1"/>
      <c r="V189" s="1"/>
      <c r="W189" s="1"/>
      <c r="X189" s="1"/>
      <c r="Y189" s="1"/>
      <c r="Z189" s="1"/>
    </row>
    <row r="190" ht="15.75" hidden="1" customHeight="1">
      <c r="A190" s="1"/>
      <c r="C190" s="186" t="str">
        <f t="shared" si="3"/>
        <v/>
      </c>
      <c r="D190" s="186" t="str">
        <f t="shared" si="4"/>
        <v/>
      </c>
      <c r="E190" s="1"/>
      <c r="F190" s="1"/>
      <c r="G190" s="1"/>
      <c r="H190" s="1"/>
      <c r="I190" s="1"/>
      <c r="J190" s="1"/>
      <c r="K190" s="1"/>
      <c r="L190" s="1"/>
      <c r="M190" s="1"/>
      <c r="N190" s="1"/>
      <c r="O190" s="1"/>
      <c r="P190" s="1"/>
      <c r="Q190" s="1"/>
      <c r="R190" s="1"/>
      <c r="S190" s="1"/>
      <c r="T190" s="1"/>
      <c r="U190" s="1"/>
      <c r="V190" s="1"/>
      <c r="W190" s="1"/>
      <c r="X190" s="1"/>
      <c r="Y190" s="1"/>
      <c r="Z190" s="1"/>
    </row>
    <row r="191" ht="15.75" hidden="1" customHeight="1">
      <c r="A191" s="1"/>
      <c r="C191" s="186" t="str">
        <f t="shared" si="3"/>
        <v/>
      </c>
      <c r="D191" s="186" t="str">
        <f t="shared" si="4"/>
        <v/>
      </c>
      <c r="E191" s="1"/>
      <c r="F191" s="1"/>
      <c r="G191" s="1"/>
      <c r="H191" s="1"/>
      <c r="I191" s="1"/>
      <c r="J191" s="1"/>
      <c r="K191" s="1"/>
      <c r="L191" s="1"/>
      <c r="M191" s="1"/>
      <c r="N191" s="1"/>
      <c r="O191" s="1"/>
      <c r="P191" s="1"/>
      <c r="Q191" s="1"/>
      <c r="R191" s="1"/>
      <c r="S191" s="1"/>
      <c r="T191" s="1"/>
      <c r="U191" s="1"/>
      <c r="V191" s="1"/>
      <c r="W191" s="1"/>
      <c r="X191" s="1"/>
      <c r="Y191" s="1"/>
      <c r="Z191" s="1"/>
    </row>
    <row r="192" ht="15.75" hidden="1" customHeight="1">
      <c r="A192" s="1"/>
      <c r="C192" s="186" t="str">
        <f t="shared" si="3"/>
        <v/>
      </c>
      <c r="D192" s="186" t="str">
        <f t="shared" si="4"/>
        <v/>
      </c>
      <c r="E192" s="1"/>
      <c r="F192" s="1"/>
      <c r="G192" s="1"/>
      <c r="H192" s="1"/>
      <c r="I192" s="1"/>
      <c r="J192" s="1"/>
      <c r="K192" s="1"/>
      <c r="L192" s="1"/>
      <c r="M192" s="1"/>
      <c r="N192" s="1"/>
      <c r="O192" s="1"/>
      <c r="P192" s="1"/>
      <c r="Q192" s="1"/>
      <c r="R192" s="1"/>
      <c r="S192" s="1"/>
      <c r="T192" s="1"/>
      <c r="U192" s="1"/>
      <c r="V192" s="1"/>
      <c r="W192" s="1"/>
      <c r="X192" s="1"/>
      <c r="Y192" s="1"/>
      <c r="Z192" s="1"/>
    </row>
    <row r="193" ht="15.75" hidden="1" customHeight="1">
      <c r="A193" s="1"/>
      <c r="C193" s="186" t="str">
        <f t="shared" si="3"/>
        <v/>
      </c>
      <c r="D193" s="186" t="str">
        <f t="shared" si="4"/>
        <v/>
      </c>
      <c r="E193" s="1"/>
      <c r="F193" s="1"/>
      <c r="G193" s="1"/>
      <c r="H193" s="1"/>
      <c r="I193" s="1"/>
      <c r="J193" s="1"/>
      <c r="K193" s="1"/>
      <c r="L193" s="1"/>
      <c r="M193" s="1"/>
      <c r="N193" s="1"/>
      <c r="O193" s="1"/>
      <c r="P193" s="1"/>
      <c r="Q193" s="1"/>
      <c r="R193" s="1"/>
      <c r="S193" s="1"/>
      <c r="T193" s="1"/>
      <c r="U193" s="1"/>
      <c r="V193" s="1"/>
      <c r="W193" s="1"/>
      <c r="X193" s="1"/>
      <c r="Y193" s="1"/>
      <c r="Z193" s="1"/>
    </row>
    <row r="194" ht="15.75" hidden="1" customHeight="1">
      <c r="A194" s="1"/>
      <c r="C194" s="186" t="str">
        <f t="shared" si="3"/>
        <v/>
      </c>
      <c r="D194" s="186" t="str">
        <f t="shared" si="4"/>
        <v/>
      </c>
      <c r="E194" s="1"/>
      <c r="F194" s="1"/>
      <c r="G194" s="1"/>
      <c r="H194" s="1"/>
      <c r="I194" s="1"/>
      <c r="J194" s="1"/>
      <c r="K194" s="1"/>
      <c r="L194" s="1"/>
      <c r="M194" s="1"/>
      <c r="N194" s="1"/>
      <c r="O194" s="1"/>
      <c r="P194" s="1"/>
      <c r="Q194" s="1"/>
      <c r="R194" s="1"/>
      <c r="S194" s="1"/>
      <c r="T194" s="1"/>
      <c r="U194" s="1"/>
      <c r="V194" s="1"/>
      <c r="W194" s="1"/>
      <c r="X194" s="1"/>
      <c r="Y194" s="1"/>
      <c r="Z194" s="1"/>
    </row>
    <row r="195" ht="15.75" hidden="1" customHeight="1">
      <c r="A195" s="1"/>
      <c r="C195" s="186" t="str">
        <f t="shared" si="3"/>
        <v/>
      </c>
      <c r="D195" s="186" t="str">
        <f t="shared" si="4"/>
        <v/>
      </c>
      <c r="E195" s="1"/>
      <c r="F195" s="1"/>
      <c r="G195" s="1"/>
      <c r="H195" s="1"/>
      <c r="I195" s="1"/>
      <c r="J195" s="1"/>
      <c r="K195" s="1"/>
      <c r="L195" s="1"/>
      <c r="M195" s="1"/>
      <c r="N195" s="1"/>
      <c r="O195" s="1"/>
      <c r="P195" s="1"/>
      <c r="Q195" s="1"/>
      <c r="R195" s="1"/>
      <c r="S195" s="1"/>
      <c r="T195" s="1"/>
      <c r="U195" s="1"/>
      <c r="V195" s="1"/>
      <c r="W195" s="1"/>
      <c r="X195" s="1"/>
      <c r="Y195" s="1"/>
      <c r="Z195" s="1"/>
    </row>
    <row r="196" ht="15.75" hidden="1" customHeight="1">
      <c r="A196" s="1"/>
      <c r="C196" s="186" t="str">
        <f t="shared" si="3"/>
        <v/>
      </c>
      <c r="D196" s="186" t="str">
        <f t="shared" si="4"/>
        <v/>
      </c>
      <c r="E196" s="1"/>
      <c r="F196" s="1"/>
      <c r="G196" s="1"/>
      <c r="H196" s="1"/>
      <c r="I196" s="1"/>
      <c r="J196" s="1"/>
      <c r="K196" s="1"/>
      <c r="L196" s="1"/>
      <c r="M196" s="1"/>
      <c r="N196" s="1"/>
      <c r="O196" s="1"/>
      <c r="P196" s="1"/>
      <c r="Q196" s="1"/>
      <c r="R196" s="1"/>
      <c r="S196" s="1"/>
      <c r="T196" s="1"/>
      <c r="U196" s="1"/>
      <c r="V196" s="1"/>
      <c r="W196" s="1"/>
      <c r="X196" s="1"/>
      <c r="Y196" s="1"/>
      <c r="Z196" s="1"/>
    </row>
    <row r="197" ht="15.75" hidden="1" customHeight="1">
      <c r="A197" s="1"/>
      <c r="C197" s="186" t="str">
        <f t="shared" si="3"/>
        <v/>
      </c>
      <c r="D197" s="186" t="str">
        <f t="shared" si="4"/>
        <v/>
      </c>
      <c r="E197" s="1"/>
      <c r="F197" s="1"/>
      <c r="G197" s="1"/>
      <c r="H197" s="1"/>
      <c r="I197" s="1"/>
      <c r="J197" s="1"/>
      <c r="K197" s="1"/>
      <c r="L197" s="1"/>
      <c r="M197" s="1"/>
      <c r="N197" s="1"/>
      <c r="O197" s="1"/>
      <c r="P197" s="1"/>
      <c r="Q197" s="1"/>
      <c r="R197" s="1"/>
      <c r="S197" s="1"/>
      <c r="T197" s="1"/>
      <c r="U197" s="1"/>
      <c r="V197" s="1"/>
      <c r="W197" s="1"/>
      <c r="X197" s="1"/>
      <c r="Y197" s="1"/>
      <c r="Z197" s="1"/>
    </row>
    <row r="198" ht="15.75" hidden="1" customHeight="1">
      <c r="A198" s="1"/>
      <c r="C198" s="186" t="str">
        <f t="shared" si="3"/>
        <v/>
      </c>
      <c r="D198" s="186" t="str">
        <f t="shared" si="4"/>
        <v/>
      </c>
      <c r="E198" s="1"/>
      <c r="F198" s="1"/>
      <c r="G198" s="1"/>
      <c r="H198" s="1"/>
      <c r="I198" s="1"/>
      <c r="J198" s="1"/>
      <c r="K198" s="1"/>
      <c r="L198" s="1"/>
      <c r="M198" s="1"/>
      <c r="N198" s="1"/>
      <c r="O198" s="1"/>
      <c r="P198" s="1"/>
      <c r="Q198" s="1"/>
      <c r="R198" s="1"/>
      <c r="S198" s="1"/>
      <c r="T198" s="1"/>
      <c r="U198" s="1"/>
      <c r="V198" s="1"/>
      <c r="W198" s="1"/>
      <c r="X198" s="1"/>
      <c r="Y198" s="1"/>
      <c r="Z198" s="1"/>
    </row>
    <row r="199" ht="15.75" hidden="1" customHeight="1">
      <c r="A199" s="1"/>
      <c r="C199" s="186" t="str">
        <f t="shared" si="3"/>
        <v/>
      </c>
      <c r="D199" s="186" t="str">
        <f t="shared" si="4"/>
        <v/>
      </c>
      <c r="E199" s="1"/>
      <c r="F199" s="1"/>
      <c r="G199" s="1"/>
      <c r="H199" s="1"/>
      <c r="I199" s="1"/>
      <c r="J199" s="1"/>
      <c r="K199" s="1"/>
      <c r="L199" s="1"/>
      <c r="M199" s="1"/>
      <c r="N199" s="1"/>
      <c r="O199" s="1"/>
      <c r="P199" s="1"/>
      <c r="Q199" s="1"/>
      <c r="R199" s="1"/>
      <c r="S199" s="1"/>
      <c r="T199" s="1"/>
      <c r="U199" s="1"/>
      <c r="V199" s="1"/>
      <c r="W199" s="1"/>
      <c r="X199" s="1"/>
      <c r="Y199" s="1"/>
      <c r="Z199" s="1"/>
    </row>
    <row r="200" ht="15.75" hidden="1" customHeight="1">
      <c r="A200" s="1"/>
      <c r="C200" s="186" t="str">
        <f t="shared" si="3"/>
        <v/>
      </c>
      <c r="D200" s="186" t="str">
        <f t="shared" si="4"/>
        <v/>
      </c>
      <c r="E200" s="1"/>
      <c r="F200" s="1"/>
      <c r="G200" s="1"/>
      <c r="H200" s="1"/>
      <c r="I200" s="1"/>
      <c r="J200" s="1"/>
      <c r="K200" s="1"/>
      <c r="L200" s="1"/>
      <c r="M200" s="1"/>
      <c r="N200" s="1"/>
      <c r="O200" s="1"/>
      <c r="P200" s="1"/>
      <c r="Q200" s="1"/>
      <c r="R200" s="1"/>
      <c r="S200" s="1"/>
      <c r="T200" s="1"/>
      <c r="U200" s="1"/>
      <c r="V200" s="1"/>
      <c r="W200" s="1"/>
      <c r="X200" s="1"/>
      <c r="Y200" s="1"/>
      <c r="Z200" s="1"/>
    </row>
    <row r="201" ht="15.75" hidden="1" customHeight="1">
      <c r="A201" s="1"/>
      <c r="C201" s="186" t="str">
        <f t="shared" si="3"/>
        <v/>
      </c>
      <c r="D201" s="186" t="str">
        <f t="shared" si="4"/>
        <v/>
      </c>
      <c r="E201" s="1"/>
      <c r="F201" s="1"/>
      <c r="G201" s="1"/>
      <c r="H201" s="1"/>
      <c r="I201" s="1"/>
      <c r="J201" s="1"/>
      <c r="K201" s="1"/>
      <c r="L201" s="1"/>
      <c r="M201" s="1"/>
      <c r="N201" s="1"/>
      <c r="O201" s="1"/>
      <c r="P201" s="1"/>
      <c r="Q201" s="1"/>
      <c r="R201" s="1"/>
      <c r="S201" s="1"/>
      <c r="T201" s="1"/>
      <c r="U201" s="1"/>
      <c r="V201" s="1"/>
      <c r="W201" s="1"/>
      <c r="X201" s="1"/>
      <c r="Y201" s="1"/>
      <c r="Z201" s="1"/>
    </row>
    <row r="202" ht="15.75" hidden="1" customHeight="1">
      <c r="A202" s="1"/>
      <c r="C202" s="186" t="str">
        <f t="shared" si="3"/>
        <v/>
      </c>
      <c r="D202" s="186" t="str">
        <f t="shared" si="4"/>
        <v/>
      </c>
      <c r="E202" s="1"/>
      <c r="F202" s="1"/>
      <c r="G202" s="1"/>
      <c r="H202" s="1"/>
      <c r="I202" s="1"/>
      <c r="J202" s="1"/>
      <c r="K202" s="1"/>
      <c r="L202" s="1"/>
      <c r="M202" s="1"/>
      <c r="N202" s="1"/>
      <c r="O202" s="1"/>
      <c r="P202" s="1"/>
      <c r="Q202" s="1"/>
      <c r="R202" s="1"/>
      <c r="S202" s="1"/>
      <c r="T202" s="1"/>
      <c r="U202" s="1"/>
      <c r="V202" s="1"/>
      <c r="W202" s="1"/>
      <c r="X202" s="1"/>
      <c r="Y202" s="1"/>
      <c r="Z202" s="1"/>
    </row>
    <row r="203" ht="15.75" hidden="1" customHeight="1">
      <c r="A203" s="1"/>
      <c r="C203" s="186" t="str">
        <f t="shared" si="3"/>
        <v/>
      </c>
      <c r="D203" s="186" t="str">
        <f t="shared" si="4"/>
        <v/>
      </c>
      <c r="E203" s="1"/>
      <c r="F203" s="1"/>
      <c r="G203" s="1"/>
      <c r="H203" s="1"/>
      <c r="I203" s="1"/>
      <c r="J203" s="1"/>
      <c r="K203" s="1"/>
      <c r="L203" s="1"/>
      <c r="M203" s="1"/>
      <c r="N203" s="1"/>
      <c r="O203" s="1"/>
      <c r="P203" s="1"/>
      <c r="Q203" s="1"/>
      <c r="R203" s="1"/>
      <c r="S203" s="1"/>
      <c r="T203" s="1"/>
      <c r="U203" s="1"/>
      <c r="V203" s="1"/>
      <c r="W203" s="1"/>
      <c r="X203" s="1"/>
      <c r="Y203" s="1"/>
      <c r="Z203" s="1"/>
    </row>
    <row r="204" ht="15.75" hidden="1"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hidden="1"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hidden="1"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hidden="1"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hidden="1"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hidden="1"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hidden="1"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hidden="1"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hidden="1"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hidden="1"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hidden="1"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hidden="1"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hidden="1"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hidden="1"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hidden="1"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hidden="1"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hidden="1"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hidden="1"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hidden="1"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hidden="1"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hidden="1"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hidden="1"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hidden="1"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hidden="1"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hidden="1"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hidden="1"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hidden="1"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hidden="1"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hidden="1"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hidden="1"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hidden="1"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hidden="1"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hidden="1"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hidden="1"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hidden="1"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hidden="1"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hidden="1"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hidden="1"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hidden="1"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hidden="1"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hidden="1"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hidden="1"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hidden="1"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hidden="1"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hidden="1"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hidden="1"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hidden="1"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hidden="1"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hidden="1"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hidden="1"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hidden="1"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hidden="1"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hidden="1"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hidden="1"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hidden="1"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hidden="1"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hidden="1"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hidden="1"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hidden="1"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hidden="1"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hidden="1"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hidden="1"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hidden="1"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hidden="1"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hidden="1"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hidden="1"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hidden="1"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hidden="1"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hidden="1"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hidden="1"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hidden="1"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hidden="1"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hidden="1"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hidden="1"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hidden="1"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hidden="1"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hidden="1"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hidden="1"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hidden="1"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hidden="1"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hidden="1"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hidden="1"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hidden="1"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hidden="1"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hidden="1"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hidden="1"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hidden="1"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hidden="1"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hidden="1"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hidden="1"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hidden="1"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hidden="1"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hidden="1"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hidden="1"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hidden="1"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hidden="1"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hidden="1"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hidden="1"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hidden="1"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hidden="1"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hidden="1"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hidden="1"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hidden="1"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hidden="1"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hidden="1"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hidden="1"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hidden="1"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hidden="1"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hidden="1"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hidden="1"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hidden="1"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hidden="1"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hidden="1"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hidden="1"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hidden="1"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hidden="1"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hidden="1"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hidden="1"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hidden="1"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hidden="1"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hidden="1"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hidden="1"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hidden="1"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hidden="1"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hidden="1"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hidden="1"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hidden="1"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hidden="1"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hidden="1"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hidden="1"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hidden="1"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hidden="1"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hidden="1"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hidden="1"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hidden="1"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hidden="1"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hidden="1"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hidden="1"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hidden="1"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hidden="1"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hidden="1"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hidden="1"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hidden="1"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hidden="1"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hidden="1"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hidden="1"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hidden="1"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hidden="1"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hidden="1"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hidden="1"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hidden="1"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hidden="1"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hidden="1"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hidden="1"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hidden="1"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hidden="1"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hidden="1"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hidden="1"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hidden="1"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hidden="1"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hidden="1"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hidden="1"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hidden="1"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hidden="1"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hidden="1"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hidden="1"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hidden="1"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hidden="1"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hidden="1"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hidden="1"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hidden="1"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hidden="1"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hidden="1"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hidden="1"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hidden="1"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hidden="1"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hidden="1"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hidden="1"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hidden="1"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hidden="1"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hidden="1"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hidden="1"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hidden="1"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hidden="1"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hidden="1"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hidden="1"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hidden="1"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hidden="1"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hidden="1"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hidden="1"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hidden="1"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hidden="1"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hidden="1"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hidden="1"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hidden="1"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hidden="1"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hidden="1"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hidden="1"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hidden="1"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hidden="1"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C2"/>
    <mergeCell ref="B4:C4"/>
    <mergeCell ref="B11:C11"/>
    <mergeCell ref="B21:D21"/>
  </mergeCells>
  <dataValidations>
    <dataValidation type="list" allowBlank="1" sqref="C5">
      <formula1>'Debt Payoff'!$B$5:$B$9</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7CC3"/>
    <pageSetUpPr/>
  </sheetPr>
  <sheetViews>
    <sheetView showGridLines="0" workbookViewId="0"/>
  </sheetViews>
  <sheetFormatPr customHeight="1" defaultColWidth="14.43" defaultRowHeight="15.0"/>
  <cols>
    <col customWidth="1" min="1" max="1" width="3.0"/>
    <col customWidth="1" min="2" max="2" width="42.43"/>
    <col customWidth="1" min="3" max="3" width="19.71"/>
    <col customWidth="1" min="4" max="5" width="8.71"/>
    <col customWidth="1" min="6" max="6" width="14.43"/>
  </cols>
  <sheetData>
    <row r="1" ht="19.5" customHeight="1">
      <c r="A1" s="1"/>
      <c r="B1" s="3" t="s">
        <v>184</v>
      </c>
      <c r="D1" s="1"/>
      <c r="E1" s="1"/>
    </row>
    <row r="2" ht="15.0" customHeight="1">
      <c r="A2" s="1"/>
      <c r="B2" s="1"/>
      <c r="C2" s="1"/>
      <c r="D2" s="1"/>
      <c r="E2" s="1"/>
    </row>
    <row r="3" ht="15.0" customHeight="1">
      <c r="A3" s="1"/>
      <c r="B3" s="5" t="s">
        <v>185</v>
      </c>
      <c r="D3" s="1"/>
      <c r="E3" s="1"/>
    </row>
    <row r="4" ht="15.0" customHeight="1">
      <c r="A4" s="1"/>
      <c r="B4" s="129" t="s">
        <v>187</v>
      </c>
      <c r="C4" s="129" t="s">
        <v>188</v>
      </c>
      <c r="D4" s="1"/>
      <c r="E4" s="1"/>
    </row>
    <row r="5" ht="15.0" customHeight="1">
      <c r="A5" s="1"/>
      <c r="B5" s="13" t="s">
        <v>189</v>
      </c>
      <c r="C5" s="32">
        <v>10000.0</v>
      </c>
      <c r="D5" s="1"/>
      <c r="E5" s="1"/>
    </row>
    <row r="6" ht="15.0" customHeight="1">
      <c r="A6" s="1"/>
      <c r="B6" s="13" t="s">
        <v>190</v>
      </c>
      <c r="C6" s="32">
        <v>10000.0</v>
      </c>
      <c r="D6" s="1"/>
      <c r="E6" s="1"/>
    </row>
    <row r="7" ht="15.0" customHeight="1">
      <c r="A7" s="1"/>
      <c r="B7" s="13" t="s">
        <v>191</v>
      </c>
      <c r="C7" s="32">
        <v>100000.0</v>
      </c>
      <c r="D7" s="1"/>
      <c r="E7" s="1"/>
    </row>
    <row r="8" ht="15.0" customHeight="1">
      <c r="A8" s="1"/>
      <c r="B8" s="13" t="s">
        <v>193</v>
      </c>
      <c r="C8" s="32">
        <v>0.0</v>
      </c>
      <c r="D8" s="1"/>
      <c r="E8" s="1"/>
    </row>
    <row r="9" ht="15.0" customHeight="1">
      <c r="A9" s="1"/>
      <c r="B9" s="13" t="s">
        <v>194</v>
      </c>
      <c r="C9" s="32">
        <v>15000.0</v>
      </c>
      <c r="D9" s="1"/>
      <c r="E9" s="1"/>
    </row>
    <row r="10" ht="15.0" customHeight="1">
      <c r="A10" s="1"/>
      <c r="B10" s="13" t="s">
        <v>137</v>
      </c>
      <c r="C10" s="32">
        <v>2000.0</v>
      </c>
      <c r="D10" s="1"/>
      <c r="E10" s="1"/>
    </row>
    <row r="11" ht="15.0" customHeight="1">
      <c r="A11" s="1"/>
      <c r="B11" s="104" t="s">
        <v>42</v>
      </c>
      <c r="C11" s="139">
        <f>SUM(C5:C10)</f>
        <v>137000</v>
      </c>
      <c r="D11" s="1"/>
      <c r="E11" s="1"/>
    </row>
    <row r="12" ht="15.0" customHeight="1">
      <c r="A12" s="1"/>
      <c r="B12" s="1"/>
      <c r="C12" s="1"/>
      <c r="D12" s="1"/>
      <c r="E12" s="1"/>
    </row>
    <row r="13" ht="15.0" customHeight="1">
      <c r="A13" s="1"/>
      <c r="B13" s="5" t="s">
        <v>196</v>
      </c>
      <c r="D13" s="1"/>
      <c r="E13" s="1"/>
    </row>
    <row r="14" ht="15.0" customHeight="1">
      <c r="A14" s="1"/>
      <c r="B14" s="129" t="s">
        <v>187</v>
      </c>
      <c r="C14" s="129" t="s">
        <v>188</v>
      </c>
      <c r="D14" s="1"/>
      <c r="E14" s="1"/>
    </row>
    <row r="15" ht="15.0" customHeight="1">
      <c r="A15" s="1"/>
      <c r="B15" s="13" t="s">
        <v>198</v>
      </c>
      <c r="C15" s="32">
        <v>0.0</v>
      </c>
      <c r="D15" s="1"/>
      <c r="E15" s="1"/>
    </row>
    <row r="16" ht="15.0" customHeight="1">
      <c r="A16" s="1"/>
      <c r="B16" s="13" t="s">
        <v>199</v>
      </c>
      <c r="C16" s="141">
        <f>'Debt Payoff'!M4</f>
        <v>18000</v>
      </c>
      <c r="D16" s="1"/>
      <c r="E16" s="1"/>
    </row>
    <row r="17" ht="15.0" customHeight="1">
      <c r="A17" s="1"/>
      <c r="B17" s="13" t="s">
        <v>202</v>
      </c>
      <c r="C17" s="32">
        <v>0.0</v>
      </c>
      <c r="D17" s="1"/>
      <c r="E17" s="1"/>
    </row>
    <row r="18" ht="15.0" customHeight="1">
      <c r="A18" s="1"/>
      <c r="B18" s="1"/>
      <c r="C18" s="1"/>
      <c r="D18" s="1"/>
      <c r="E18" s="1"/>
    </row>
    <row r="19" ht="15.0" customHeight="1">
      <c r="A19" s="1"/>
      <c r="B19" s="104" t="s">
        <v>70</v>
      </c>
      <c r="C19" s="130">
        <f>SUM(C15:C17)</f>
        <v>18000</v>
      </c>
      <c r="D19" s="1"/>
      <c r="E19" s="1"/>
    </row>
    <row r="20" ht="15.0" customHeight="1">
      <c r="A20" s="1"/>
      <c r="B20" s="1"/>
      <c r="C20" s="1"/>
      <c r="D20" s="1"/>
      <c r="E20" s="1"/>
    </row>
    <row r="21" ht="15.75" customHeight="1">
      <c r="A21" s="1"/>
      <c r="B21" s="5" t="s">
        <v>22</v>
      </c>
      <c r="D21" s="1"/>
      <c r="E21" s="1"/>
    </row>
    <row r="22" ht="15.75" customHeight="1">
      <c r="A22" s="1"/>
      <c r="B22" s="104" t="s">
        <v>204</v>
      </c>
      <c r="C22" s="143">
        <f>C11-C19</f>
        <v>119000</v>
      </c>
      <c r="D22" s="1"/>
      <c r="E22" s="1"/>
    </row>
    <row r="23" ht="15.75" customHeight="1">
      <c r="A23" s="1"/>
      <c r="B23" s="1"/>
      <c r="C23" s="1"/>
      <c r="D23" s="1"/>
      <c r="E23" s="1"/>
    </row>
    <row r="24" ht="15.0" customHeight="1">
      <c r="A24" s="1"/>
      <c r="B24" s="144" t="s">
        <v>207</v>
      </c>
      <c r="C24" s="45"/>
      <c r="D24" s="1"/>
      <c r="E24" s="1"/>
    </row>
    <row r="25" ht="21.0" customHeight="1">
      <c r="A25" s="1"/>
      <c r="B25" s="47"/>
      <c r="C25" s="49"/>
      <c r="D25" s="1"/>
      <c r="E25" s="1"/>
    </row>
    <row r="26" ht="15.75" customHeight="1">
      <c r="A26" s="1"/>
      <c r="B26" s="1"/>
      <c r="C26" s="1"/>
      <c r="D26" s="1"/>
      <c r="E26" s="1"/>
    </row>
    <row r="27" ht="15.75" customHeight="1">
      <c r="A27" s="1"/>
      <c r="B27" s="1"/>
      <c r="C27" s="1"/>
      <c r="D27" s="1"/>
      <c r="E27" s="1"/>
    </row>
    <row r="28" ht="15.75" customHeight="1">
      <c r="A28" s="1"/>
      <c r="B28" s="1"/>
      <c r="C28" s="1"/>
      <c r="D28" s="1"/>
      <c r="E28" s="1"/>
    </row>
    <row r="29" ht="15.75" customHeight="1">
      <c r="A29" s="1"/>
      <c r="B29" s="1"/>
      <c r="C29" s="1"/>
      <c r="D29" s="1"/>
      <c r="E29" s="1"/>
    </row>
    <row r="30" ht="15.75" customHeight="1">
      <c r="A30" s="1"/>
      <c r="B30" s="1"/>
      <c r="C30" s="1"/>
      <c r="D30" s="1"/>
      <c r="E30" s="1"/>
    </row>
    <row r="31" ht="15.75" customHeight="1">
      <c r="A31" s="1"/>
      <c r="B31" s="1"/>
      <c r="C31" s="1"/>
      <c r="D31" s="1"/>
      <c r="E31" s="1"/>
    </row>
    <row r="32" ht="15.75" customHeight="1">
      <c r="A32" s="1"/>
      <c r="B32" s="1"/>
      <c r="C32" s="1"/>
      <c r="D32" s="1"/>
      <c r="E32" s="1"/>
    </row>
    <row r="33" ht="15.75" customHeight="1">
      <c r="A33" s="1"/>
      <c r="B33" s="1"/>
      <c r="C33" s="1"/>
      <c r="D33" s="1"/>
      <c r="E33" s="1"/>
    </row>
    <row r="34" ht="15.75" customHeight="1">
      <c r="A34" s="1"/>
      <c r="B34" s="1"/>
      <c r="C34" s="1"/>
      <c r="D34" s="1"/>
      <c r="E34" s="1"/>
    </row>
    <row r="35" ht="15.75" customHeight="1">
      <c r="A35" s="1"/>
      <c r="B35" s="1"/>
      <c r="C35" s="1"/>
      <c r="D35" s="1"/>
      <c r="E35" s="1"/>
    </row>
    <row r="36" ht="15.75" customHeight="1">
      <c r="A36" s="1"/>
      <c r="B36" s="1"/>
      <c r="C36" s="1"/>
      <c r="D36" s="1"/>
      <c r="E36" s="1"/>
    </row>
    <row r="37" ht="15.75" customHeight="1">
      <c r="A37" s="1"/>
      <c r="B37" s="1"/>
      <c r="C37" s="1"/>
      <c r="D37" s="1"/>
      <c r="E37" s="1"/>
    </row>
    <row r="38" ht="15.75" customHeight="1">
      <c r="A38" s="1"/>
      <c r="B38" s="1"/>
      <c r="C38" s="1"/>
      <c r="D38" s="1"/>
      <c r="E38" s="1"/>
    </row>
    <row r="39" ht="15.75" customHeight="1">
      <c r="A39" s="1"/>
      <c r="B39" s="1"/>
      <c r="C39" s="1"/>
      <c r="D39" s="1"/>
      <c r="E39" s="1"/>
    </row>
    <row r="40" ht="15.75" customHeight="1">
      <c r="A40" s="1"/>
      <c r="B40" s="1"/>
      <c r="C40" s="1"/>
      <c r="D40" s="1"/>
      <c r="E40" s="1"/>
    </row>
    <row r="41" ht="15.75" customHeight="1">
      <c r="A41" s="1"/>
      <c r="B41" s="1"/>
      <c r="C41" s="1"/>
      <c r="D41" s="1"/>
      <c r="E41" s="1"/>
    </row>
    <row r="42" ht="15.75" customHeight="1">
      <c r="A42" s="1"/>
      <c r="B42" s="1"/>
      <c r="C42" s="1"/>
      <c r="D42" s="1"/>
      <c r="E42" s="1"/>
    </row>
    <row r="43" ht="15.75" customHeight="1">
      <c r="A43" s="1"/>
      <c r="B43" s="1"/>
      <c r="C43" s="1"/>
      <c r="D43" s="1"/>
      <c r="E43" s="1"/>
    </row>
    <row r="44" ht="15.75" customHeight="1">
      <c r="A44" s="1"/>
      <c r="B44" s="1"/>
      <c r="C44" s="1"/>
      <c r="D44" s="1"/>
      <c r="E44" s="1"/>
    </row>
    <row r="45" ht="15.75" customHeight="1">
      <c r="A45" s="1"/>
      <c r="B45" s="1"/>
      <c r="C45" s="1"/>
      <c r="D45" s="1"/>
      <c r="E45" s="1"/>
    </row>
    <row r="46" ht="15.75" customHeight="1">
      <c r="A46" s="1"/>
      <c r="B46" s="1"/>
      <c r="C46" s="1"/>
      <c r="D46" s="1"/>
      <c r="E46" s="1"/>
    </row>
    <row r="47" ht="15.75" customHeight="1">
      <c r="A47" s="1"/>
      <c r="B47" s="1"/>
      <c r="C47" s="1"/>
      <c r="D47" s="1"/>
      <c r="E47" s="1"/>
    </row>
    <row r="48" ht="15.75" customHeight="1">
      <c r="A48" s="1"/>
      <c r="B48" s="1"/>
      <c r="C48" s="1"/>
      <c r="D48" s="1"/>
      <c r="E48" s="1"/>
    </row>
    <row r="49" ht="15.75" customHeight="1">
      <c r="A49" s="1"/>
      <c r="B49" s="1"/>
      <c r="C49" s="1"/>
      <c r="D49" s="1"/>
      <c r="E49" s="1"/>
    </row>
    <row r="50" ht="15.75" customHeight="1">
      <c r="A50" s="1"/>
      <c r="B50" s="1"/>
      <c r="C50" s="1"/>
      <c r="D50" s="1"/>
      <c r="E50" s="1"/>
    </row>
    <row r="51" ht="15.75" customHeight="1">
      <c r="A51" s="1"/>
      <c r="B51" s="1"/>
      <c r="C51" s="1"/>
      <c r="D51" s="1"/>
      <c r="E51" s="1"/>
    </row>
    <row r="52" ht="15.75" customHeight="1">
      <c r="A52" s="1"/>
      <c r="B52" s="1"/>
      <c r="C52" s="1"/>
      <c r="D52" s="1"/>
      <c r="E52" s="1"/>
    </row>
    <row r="53" ht="15.75" customHeight="1">
      <c r="A53" s="1"/>
      <c r="B53" s="1"/>
      <c r="C53" s="1"/>
      <c r="D53" s="1"/>
      <c r="E53" s="1"/>
    </row>
    <row r="54" ht="15.75" customHeight="1">
      <c r="A54" s="1"/>
      <c r="B54" s="1"/>
      <c r="C54" s="1"/>
      <c r="D54" s="1"/>
      <c r="E54" s="1"/>
    </row>
    <row r="55" ht="15.75" customHeight="1">
      <c r="A55" s="1"/>
      <c r="B55" s="1"/>
      <c r="C55" s="1"/>
      <c r="D55" s="1"/>
      <c r="E55" s="1"/>
    </row>
    <row r="56" ht="15.75" customHeight="1">
      <c r="A56" s="1"/>
      <c r="B56" s="1"/>
      <c r="C56" s="1"/>
      <c r="D56" s="1"/>
      <c r="E56" s="1"/>
    </row>
    <row r="57" ht="15.75" customHeight="1">
      <c r="A57" s="1"/>
      <c r="B57" s="1"/>
      <c r="C57" s="1"/>
      <c r="D57" s="1"/>
      <c r="E57" s="1"/>
    </row>
    <row r="58" ht="15.75" customHeight="1">
      <c r="A58" s="1"/>
      <c r="B58" s="1"/>
      <c r="C58" s="1"/>
      <c r="D58" s="1"/>
      <c r="E58" s="1"/>
    </row>
    <row r="59" ht="15.75" customHeight="1">
      <c r="A59" s="1"/>
      <c r="B59" s="1"/>
      <c r="C59" s="1"/>
      <c r="D59" s="1"/>
      <c r="E59" s="1"/>
    </row>
    <row r="60" ht="15.75" customHeight="1">
      <c r="A60" s="1"/>
      <c r="B60" s="1"/>
      <c r="C60" s="1"/>
      <c r="D60" s="1"/>
      <c r="E60" s="1"/>
    </row>
    <row r="61" ht="15.75" customHeight="1">
      <c r="A61" s="1"/>
      <c r="B61" s="1"/>
      <c r="C61" s="1"/>
      <c r="D61" s="1"/>
      <c r="E61" s="1"/>
    </row>
    <row r="62" ht="15.75" customHeight="1">
      <c r="A62" s="1"/>
      <c r="B62" s="1"/>
      <c r="C62" s="1"/>
      <c r="D62" s="1"/>
      <c r="E62" s="1"/>
    </row>
    <row r="63" ht="15.75" customHeight="1">
      <c r="A63" s="1"/>
      <c r="B63" s="1"/>
      <c r="C63" s="1"/>
      <c r="D63" s="1"/>
      <c r="E63" s="1"/>
    </row>
    <row r="64" ht="15.75" customHeight="1">
      <c r="A64" s="1"/>
      <c r="B64" s="1"/>
      <c r="C64" s="1"/>
      <c r="D64" s="1"/>
      <c r="E64" s="1"/>
    </row>
    <row r="65" ht="15.75" customHeight="1">
      <c r="A65" s="1"/>
      <c r="B65" s="1"/>
      <c r="C65" s="1"/>
      <c r="D65" s="1"/>
      <c r="E65" s="1"/>
    </row>
    <row r="66" ht="15.75" customHeight="1">
      <c r="A66" s="1"/>
      <c r="B66" s="1"/>
      <c r="C66" s="1"/>
      <c r="D66" s="1"/>
      <c r="E66" s="1"/>
    </row>
    <row r="67" ht="15.75" customHeight="1">
      <c r="A67" s="1"/>
      <c r="B67" s="1"/>
      <c r="C67" s="1"/>
      <c r="D67" s="1"/>
      <c r="E67" s="1"/>
    </row>
    <row r="68" ht="15.75" customHeight="1">
      <c r="A68" s="1"/>
      <c r="B68" s="1"/>
      <c r="C68" s="1"/>
      <c r="D68" s="1"/>
      <c r="E68" s="1"/>
    </row>
    <row r="69" ht="15.75" customHeight="1">
      <c r="A69" s="1"/>
      <c r="B69" s="1"/>
      <c r="C69" s="1"/>
      <c r="D69" s="1"/>
      <c r="E69" s="1"/>
    </row>
    <row r="70" ht="15.75" customHeight="1">
      <c r="A70" s="1"/>
      <c r="B70" s="1"/>
      <c r="C70" s="1"/>
      <c r="D70" s="1"/>
      <c r="E70" s="1"/>
    </row>
    <row r="71" ht="15.75" customHeight="1">
      <c r="A71" s="1"/>
      <c r="B71" s="1"/>
      <c r="C71" s="1"/>
      <c r="D71" s="1"/>
      <c r="E71" s="1"/>
    </row>
    <row r="72" ht="15.75" customHeight="1">
      <c r="A72" s="1"/>
      <c r="B72" s="1"/>
      <c r="C72" s="1"/>
      <c r="D72" s="1"/>
      <c r="E72" s="1"/>
    </row>
    <row r="73" ht="15.75" customHeight="1">
      <c r="A73" s="1"/>
      <c r="B73" s="1"/>
      <c r="C73" s="1"/>
      <c r="D73" s="1"/>
      <c r="E73" s="1"/>
    </row>
    <row r="74" ht="15.75" customHeight="1">
      <c r="A74" s="1"/>
      <c r="B74" s="1"/>
      <c r="C74" s="1"/>
      <c r="D74" s="1"/>
      <c r="E74" s="1"/>
    </row>
    <row r="75" ht="15.75" customHeight="1">
      <c r="A75" s="1"/>
      <c r="B75" s="1"/>
      <c r="C75" s="1"/>
      <c r="D75" s="1"/>
      <c r="E75" s="1"/>
    </row>
    <row r="76" ht="15.75" customHeight="1">
      <c r="A76" s="1"/>
      <c r="B76" s="1"/>
      <c r="C76" s="1"/>
      <c r="D76" s="1"/>
      <c r="E76" s="1"/>
    </row>
    <row r="77" ht="15.75" customHeight="1">
      <c r="A77" s="1"/>
      <c r="B77" s="1"/>
      <c r="C77" s="1"/>
      <c r="D77" s="1"/>
      <c r="E77" s="1"/>
    </row>
    <row r="78" ht="15.75" customHeight="1">
      <c r="A78" s="1"/>
      <c r="B78" s="1"/>
      <c r="C78" s="1"/>
      <c r="D78" s="1"/>
      <c r="E78" s="1"/>
    </row>
    <row r="79" ht="15.75" customHeight="1">
      <c r="A79" s="1"/>
      <c r="B79" s="1"/>
      <c r="C79" s="1"/>
      <c r="D79" s="1"/>
      <c r="E79" s="1"/>
    </row>
    <row r="80" ht="15.75" customHeight="1">
      <c r="A80" s="1"/>
      <c r="B80" s="1"/>
      <c r="C80" s="1"/>
      <c r="D80" s="1"/>
      <c r="E80" s="1"/>
    </row>
    <row r="81" ht="15.75" customHeight="1">
      <c r="A81" s="1"/>
      <c r="B81" s="1"/>
      <c r="C81" s="1"/>
      <c r="D81" s="1"/>
      <c r="E81" s="1"/>
    </row>
    <row r="82" ht="15.75" customHeight="1">
      <c r="A82" s="1"/>
      <c r="B82" s="1"/>
      <c r="C82" s="1"/>
      <c r="D82" s="1"/>
      <c r="E82" s="1"/>
    </row>
    <row r="83" ht="15.75" customHeight="1">
      <c r="A83" s="1"/>
      <c r="B83" s="1"/>
      <c r="C83" s="1"/>
      <c r="D83" s="1"/>
      <c r="E83" s="1"/>
    </row>
    <row r="84" ht="15.75" customHeight="1">
      <c r="A84" s="1"/>
      <c r="B84" s="1"/>
      <c r="C84" s="1"/>
      <c r="D84" s="1"/>
      <c r="E84" s="1"/>
    </row>
    <row r="85" ht="15.75" customHeight="1">
      <c r="A85" s="1"/>
      <c r="B85" s="1"/>
      <c r="C85" s="1"/>
      <c r="D85" s="1"/>
      <c r="E85" s="1"/>
    </row>
    <row r="86" ht="15.75" customHeight="1">
      <c r="A86" s="1"/>
      <c r="B86" s="1"/>
      <c r="C86" s="1"/>
      <c r="D86" s="1"/>
      <c r="E86" s="1"/>
    </row>
    <row r="87" ht="15.75" customHeight="1">
      <c r="A87" s="1"/>
      <c r="B87" s="1"/>
      <c r="C87" s="1"/>
      <c r="D87" s="1"/>
      <c r="E87" s="1"/>
    </row>
    <row r="88" ht="15.75" customHeight="1">
      <c r="A88" s="1"/>
      <c r="B88" s="1"/>
      <c r="C88" s="1"/>
      <c r="D88" s="1"/>
      <c r="E88" s="1"/>
    </row>
    <row r="89" ht="15.75" customHeight="1">
      <c r="A89" s="1"/>
      <c r="B89" s="1"/>
      <c r="C89" s="1"/>
      <c r="D89" s="1"/>
      <c r="E89" s="1"/>
    </row>
    <row r="90" ht="15.75" customHeight="1">
      <c r="A90" s="1"/>
      <c r="B90" s="1"/>
      <c r="C90" s="1"/>
      <c r="D90" s="1"/>
      <c r="E90" s="1"/>
    </row>
    <row r="91" ht="15.75" customHeight="1">
      <c r="A91" s="1"/>
      <c r="B91" s="1"/>
      <c r="C91" s="1"/>
      <c r="D91" s="1"/>
      <c r="E91" s="1"/>
    </row>
    <row r="92" ht="15.75" customHeight="1">
      <c r="A92" s="1"/>
      <c r="B92" s="1"/>
      <c r="C92" s="1"/>
      <c r="D92" s="1"/>
      <c r="E92" s="1"/>
    </row>
    <row r="93" ht="15.75" customHeight="1">
      <c r="A93" s="1"/>
      <c r="B93" s="1"/>
      <c r="C93" s="1"/>
      <c r="D93" s="1"/>
      <c r="E93" s="1"/>
    </row>
    <row r="94" ht="15.75" customHeight="1">
      <c r="A94" s="1"/>
      <c r="B94" s="1"/>
      <c r="C94" s="1"/>
      <c r="D94" s="1"/>
      <c r="E94" s="1"/>
    </row>
    <row r="95" ht="15.75" customHeight="1">
      <c r="A95" s="1"/>
      <c r="B95" s="1"/>
      <c r="C95" s="1"/>
      <c r="D95" s="1"/>
      <c r="E95" s="1"/>
    </row>
    <row r="96" ht="15.75" customHeight="1">
      <c r="A96" s="1"/>
      <c r="B96" s="1"/>
      <c r="C96" s="1"/>
      <c r="D96" s="1"/>
      <c r="E96" s="1"/>
    </row>
    <row r="97" ht="15.75" customHeight="1">
      <c r="A97" s="1"/>
      <c r="B97" s="1"/>
      <c r="C97" s="1"/>
      <c r="D97" s="1"/>
      <c r="E97" s="1"/>
    </row>
    <row r="98" ht="15.75" customHeight="1">
      <c r="A98" s="1"/>
      <c r="B98" s="1"/>
      <c r="C98" s="1"/>
      <c r="D98" s="1"/>
      <c r="E98" s="1"/>
    </row>
    <row r="99" ht="15.75" customHeight="1">
      <c r="A99" s="1"/>
      <c r="B99" s="1"/>
      <c r="C99" s="1"/>
      <c r="D99" s="1"/>
      <c r="E99" s="1"/>
    </row>
    <row r="100" ht="15.75" customHeight="1">
      <c r="A100" s="1"/>
      <c r="B100" s="1"/>
      <c r="C100" s="1"/>
      <c r="D100" s="1"/>
      <c r="E100" s="1"/>
    </row>
    <row r="101" ht="15.75" customHeight="1">
      <c r="A101" s="1"/>
      <c r="B101" s="1"/>
      <c r="C101" s="1"/>
      <c r="D101" s="1"/>
      <c r="E101" s="1"/>
    </row>
    <row r="102" ht="15.75" customHeight="1">
      <c r="A102" s="1"/>
      <c r="B102" s="1"/>
      <c r="C102" s="1"/>
      <c r="D102" s="1"/>
      <c r="E102" s="1"/>
    </row>
    <row r="103" ht="15.75" customHeight="1">
      <c r="A103" s="1"/>
      <c r="B103" s="1"/>
      <c r="C103" s="1"/>
      <c r="D103" s="1"/>
      <c r="E103" s="1"/>
    </row>
    <row r="104" ht="15.75" customHeight="1">
      <c r="A104" s="1"/>
      <c r="B104" s="1"/>
      <c r="C104" s="1"/>
      <c r="D104" s="1"/>
      <c r="E104" s="1"/>
    </row>
    <row r="105" ht="15.75" customHeight="1">
      <c r="A105" s="1"/>
      <c r="B105" s="1"/>
      <c r="C105" s="1"/>
      <c r="D105" s="1"/>
      <c r="E105" s="1"/>
    </row>
    <row r="106" ht="15.75" customHeight="1">
      <c r="A106" s="1"/>
      <c r="B106" s="1"/>
      <c r="C106" s="1"/>
      <c r="D106" s="1"/>
      <c r="E106" s="1"/>
    </row>
    <row r="107" ht="15.75" customHeight="1">
      <c r="A107" s="1"/>
      <c r="B107" s="1"/>
      <c r="C107" s="1"/>
      <c r="D107" s="1"/>
      <c r="E107" s="1"/>
    </row>
    <row r="108" ht="15.75" customHeight="1">
      <c r="A108" s="1"/>
      <c r="B108" s="1"/>
      <c r="C108" s="1"/>
      <c r="D108" s="1"/>
      <c r="E108" s="1"/>
    </row>
    <row r="109" ht="15.75" customHeight="1">
      <c r="A109" s="1"/>
      <c r="B109" s="1"/>
      <c r="C109" s="1"/>
      <c r="D109" s="1"/>
      <c r="E109" s="1"/>
    </row>
    <row r="110" ht="15.75" customHeight="1">
      <c r="A110" s="1"/>
      <c r="B110" s="1"/>
      <c r="C110" s="1"/>
      <c r="D110" s="1"/>
      <c r="E110" s="1"/>
    </row>
    <row r="111" ht="15.75" customHeight="1">
      <c r="A111" s="1"/>
      <c r="B111" s="1"/>
      <c r="C111" s="1"/>
      <c r="D111" s="1"/>
      <c r="E111" s="1"/>
    </row>
    <row r="112" ht="15.75" customHeight="1">
      <c r="A112" s="1"/>
      <c r="B112" s="1"/>
      <c r="C112" s="1"/>
      <c r="D112" s="1"/>
      <c r="E112" s="1"/>
    </row>
    <row r="113" ht="15.75" customHeight="1">
      <c r="A113" s="1"/>
      <c r="B113" s="1"/>
      <c r="C113" s="1"/>
      <c r="D113" s="1"/>
      <c r="E113" s="1"/>
    </row>
    <row r="114" ht="15.75" customHeight="1">
      <c r="A114" s="1"/>
      <c r="B114" s="1"/>
      <c r="C114" s="1"/>
      <c r="D114" s="1"/>
      <c r="E114" s="1"/>
    </row>
    <row r="115" ht="15.75" customHeight="1">
      <c r="A115" s="1"/>
      <c r="B115" s="1"/>
      <c r="C115" s="1"/>
      <c r="D115" s="1"/>
      <c r="E115" s="1"/>
    </row>
    <row r="116" ht="15.75" customHeight="1">
      <c r="A116" s="1"/>
      <c r="B116" s="1"/>
      <c r="C116" s="1"/>
      <c r="D116" s="1"/>
      <c r="E116" s="1"/>
    </row>
    <row r="117" ht="15.75" customHeight="1">
      <c r="A117" s="1"/>
      <c r="B117" s="1"/>
      <c r="C117" s="1"/>
      <c r="D117" s="1"/>
      <c r="E117" s="1"/>
    </row>
    <row r="118" ht="15.75" customHeight="1">
      <c r="A118" s="1"/>
      <c r="B118" s="1"/>
      <c r="C118" s="1"/>
      <c r="D118" s="1"/>
      <c r="E118" s="1"/>
    </row>
    <row r="119" ht="15.75" customHeight="1">
      <c r="A119" s="1"/>
      <c r="B119" s="1"/>
      <c r="C119" s="1"/>
      <c r="D119" s="1"/>
      <c r="E119" s="1"/>
    </row>
    <row r="120" ht="15.75" customHeight="1">
      <c r="A120" s="1"/>
      <c r="B120" s="1"/>
      <c r="C120" s="1"/>
      <c r="D120" s="1"/>
      <c r="E120" s="1"/>
    </row>
    <row r="121" ht="15.75" customHeight="1">
      <c r="A121" s="1"/>
      <c r="B121" s="1"/>
      <c r="C121" s="1"/>
      <c r="D121" s="1"/>
      <c r="E121" s="1"/>
    </row>
    <row r="122" ht="15.75" customHeight="1">
      <c r="A122" s="1"/>
      <c r="B122" s="1"/>
      <c r="C122" s="1"/>
      <c r="D122" s="1"/>
      <c r="E122" s="1"/>
    </row>
    <row r="123" ht="15.75" customHeight="1">
      <c r="A123" s="1"/>
      <c r="B123" s="1"/>
      <c r="C123" s="1"/>
      <c r="D123" s="1"/>
      <c r="E123" s="1"/>
    </row>
    <row r="124" ht="15.75" customHeight="1">
      <c r="A124" s="1"/>
      <c r="B124" s="1"/>
      <c r="C124" s="1"/>
      <c r="D124" s="1"/>
      <c r="E124" s="1"/>
    </row>
    <row r="125" ht="15.75" customHeight="1">
      <c r="A125" s="1"/>
      <c r="B125" s="1"/>
      <c r="C125" s="1"/>
      <c r="D125" s="1"/>
      <c r="E125" s="1"/>
    </row>
    <row r="126" ht="15.75" customHeight="1">
      <c r="A126" s="1"/>
      <c r="B126" s="1"/>
      <c r="C126" s="1"/>
      <c r="D126" s="1"/>
      <c r="E126" s="1"/>
    </row>
    <row r="127" ht="15.75" customHeight="1">
      <c r="A127" s="1"/>
      <c r="B127" s="1"/>
      <c r="C127" s="1"/>
      <c r="D127" s="1"/>
      <c r="E127" s="1"/>
    </row>
    <row r="128" ht="15.75" customHeight="1">
      <c r="A128" s="1"/>
      <c r="B128" s="1"/>
      <c r="C128" s="1"/>
      <c r="D128" s="1"/>
      <c r="E128" s="1"/>
    </row>
    <row r="129" ht="15.75" customHeight="1">
      <c r="A129" s="1"/>
      <c r="B129" s="1"/>
      <c r="C129" s="1"/>
      <c r="D129" s="1"/>
      <c r="E129" s="1"/>
    </row>
    <row r="130" ht="15.75" customHeight="1">
      <c r="A130" s="1"/>
      <c r="B130" s="1"/>
      <c r="C130" s="1"/>
      <c r="D130" s="1"/>
      <c r="E130" s="1"/>
    </row>
    <row r="131" ht="15.75" customHeight="1">
      <c r="A131" s="1"/>
      <c r="B131" s="1"/>
      <c r="C131" s="1"/>
      <c r="D131" s="1"/>
      <c r="E131" s="1"/>
    </row>
    <row r="132" ht="15.75" customHeight="1">
      <c r="A132" s="1"/>
      <c r="B132" s="1"/>
      <c r="C132" s="1"/>
      <c r="D132" s="1"/>
      <c r="E132" s="1"/>
    </row>
    <row r="133" ht="15.75" customHeight="1">
      <c r="A133" s="1"/>
      <c r="B133" s="1"/>
      <c r="C133" s="1"/>
      <c r="D133" s="1"/>
      <c r="E133" s="1"/>
    </row>
    <row r="134" ht="15.75" customHeight="1">
      <c r="A134" s="1"/>
      <c r="B134" s="1"/>
      <c r="C134" s="1"/>
      <c r="D134" s="1"/>
      <c r="E134" s="1"/>
    </row>
    <row r="135" ht="15.75" customHeight="1">
      <c r="A135" s="1"/>
      <c r="B135" s="1"/>
      <c r="C135" s="1"/>
      <c r="D135" s="1"/>
      <c r="E135" s="1"/>
    </row>
    <row r="136" ht="15.75" customHeight="1">
      <c r="A136" s="1"/>
      <c r="B136" s="1"/>
      <c r="C136" s="1"/>
      <c r="D136" s="1"/>
      <c r="E136" s="1"/>
    </row>
    <row r="137" ht="15.75" customHeight="1">
      <c r="A137" s="1"/>
      <c r="B137" s="1"/>
      <c r="C137" s="1"/>
      <c r="D137" s="1"/>
      <c r="E137" s="1"/>
    </row>
    <row r="138" ht="15.75" customHeight="1">
      <c r="A138" s="1"/>
      <c r="B138" s="1"/>
      <c r="C138" s="1"/>
      <c r="D138" s="1"/>
      <c r="E138" s="1"/>
    </row>
    <row r="139" ht="15.75" customHeight="1">
      <c r="A139" s="1"/>
      <c r="B139" s="1"/>
      <c r="C139" s="1"/>
      <c r="D139" s="1"/>
      <c r="E139" s="1"/>
    </row>
    <row r="140" ht="15.75" customHeight="1">
      <c r="A140" s="1"/>
      <c r="B140" s="1"/>
      <c r="C140" s="1"/>
      <c r="D140" s="1"/>
      <c r="E140" s="1"/>
    </row>
    <row r="141" ht="15.75" customHeight="1">
      <c r="A141" s="1"/>
      <c r="B141" s="1"/>
      <c r="C141" s="1"/>
      <c r="D141" s="1"/>
      <c r="E141" s="1"/>
    </row>
    <row r="142" ht="15.75" customHeight="1">
      <c r="A142" s="1"/>
      <c r="B142" s="1"/>
      <c r="C142" s="1"/>
      <c r="D142" s="1"/>
      <c r="E142" s="1"/>
    </row>
    <row r="143" ht="15.75" customHeight="1">
      <c r="A143" s="1"/>
      <c r="B143" s="1"/>
      <c r="C143" s="1"/>
      <c r="D143" s="1"/>
      <c r="E143" s="1"/>
    </row>
    <row r="144" ht="15.75" customHeight="1">
      <c r="A144" s="1"/>
      <c r="B144" s="1"/>
      <c r="C144" s="1"/>
      <c r="D144" s="1"/>
      <c r="E144" s="1"/>
    </row>
    <row r="145" ht="15.75" customHeight="1">
      <c r="A145" s="1"/>
      <c r="B145" s="1"/>
      <c r="C145" s="1"/>
      <c r="D145" s="1"/>
      <c r="E145" s="1"/>
    </row>
    <row r="146" ht="15.75" customHeight="1">
      <c r="A146" s="1"/>
      <c r="B146" s="1"/>
      <c r="C146" s="1"/>
      <c r="D146" s="1"/>
      <c r="E146" s="1"/>
    </row>
    <row r="147" ht="15.75" customHeight="1">
      <c r="A147" s="1"/>
      <c r="B147" s="1"/>
      <c r="C147" s="1"/>
      <c r="D147" s="1"/>
      <c r="E147" s="1"/>
    </row>
    <row r="148" ht="15.75" customHeight="1">
      <c r="A148" s="1"/>
      <c r="B148" s="1"/>
      <c r="C148" s="1"/>
      <c r="D148" s="1"/>
      <c r="E148" s="1"/>
    </row>
    <row r="149" ht="15.75" customHeight="1">
      <c r="A149" s="1"/>
      <c r="B149" s="1"/>
      <c r="C149" s="1"/>
      <c r="D149" s="1"/>
      <c r="E149" s="1"/>
    </row>
    <row r="150" ht="15.75" customHeight="1">
      <c r="A150" s="1"/>
      <c r="B150" s="1"/>
      <c r="C150" s="1"/>
      <c r="D150" s="1"/>
      <c r="E150" s="1"/>
    </row>
    <row r="151" ht="15.75" customHeight="1">
      <c r="A151" s="1"/>
      <c r="B151" s="1"/>
      <c r="C151" s="1"/>
      <c r="D151" s="1"/>
      <c r="E151" s="1"/>
    </row>
    <row r="152" ht="15.75" customHeight="1">
      <c r="A152" s="1"/>
      <c r="B152" s="1"/>
      <c r="C152" s="1"/>
      <c r="D152" s="1"/>
      <c r="E152" s="1"/>
    </row>
    <row r="153" ht="15.75" customHeight="1">
      <c r="A153" s="1"/>
      <c r="B153" s="1"/>
      <c r="C153" s="1"/>
      <c r="D153" s="1"/>
      <c r="E153" s="1"/>
    </row>
    <row r="154" ht="15.75" customHeight="1">
      <c r="A154" s="1"/>
      <c r="B154" s="1"/>
      <c r="C154" s="1"/>
      <c r="D154" s="1"/>
      <c r="E154" s="1"/>
    </row>
    <row r="155" ht="15.75" customHeight="1">
      <c r="A155" s="1"/>
      <c r="B155" s="1"/>
      <c r="C155" s="1"/>
      <c r="D155" s="1"/>
      <c r="E155" s="1"/>
    </row>
    <row r="156" ht="15.75" customHeight="1">
      <c r="A156" s="1"/>
      <c r="B156" s="1"/>
      <c r="C156" s="1"/>
      <c r="D156" s="1"/>
      <c r="E156" s="1"/>
    </row>
    <row r="157" ht="15.75" customHeight="1">
      <c r="A157" s="1"/>
      <c r="B157" s="1"/>
      <c r="C157" s="1"/>
      <c r="D157" s="1"/>
      <c r="E157" s="1"/>
    </row>
    <row r="158" ht="15.75" customHeight="1">
      <c r="A158" s="1"/>
      <c r="B158" s="1"/>
      <c r="C158" s="1"/>
      <c r="D158" s="1"/>
      <c r="E158" s="1"/>
    </row>
    <row r="159" ht="15.75" customHeight="1">
      <c r="A159" s="1"/>
      <c r="B159" s="1"/>
      <c r="C159" s="1"/>
      <c r="D159" s="1"/>
      <c r="E159" s="1"/>
    </row>
    <row r="160" ht="15.75" customHeight="1">
      <c r="A160" s="1"/>
      <c r="B160" s="1"/>
      <c r="C160" s="1"/>
      <c r="D160" s="1"/>
      <c r="E160" s="1"/>
    </row>
    <row r="161" ht="15.75" customHeight="1">
      <c r="A161" s="1"/>
      <c r="B161" s="1"/>
      <c r="C161" s="1"/>
      <c r="D161" s="1"/>
      <c r="E161" s="1"/>
    </row>
    <row r="162" ht="15.75" customHeight="1">
      <c r="A162" s="1"/>
      <c r="B162" s="1"/>
      <c r="C162" s="1"/>
      <c r="D162" s="1"/>
      <c r="E162" s="1"/>
    </row>
    <row r="163" ht="15.75" customHeight="1">
      <c r="A163" s="1"/>
      <c r="B163" s="1"/>
      <c r="C163" s="1"/>
      <c r="D163" s="1"/>
      <c r="E163" s="1"/>
    </row>
    <row r="164" ht="15.75" customHeight="1">
      <c r="A164" s="1"/>
      <c r="B164" s="1"/>
      <c r="C164" s="1"/>
      <c r="D164" s="1"/>
      <c r="E164" s="1"/>
    </row>
    <row r="165" ht="15.75" customHeight="1">
      <c r="A165" s="1"/>
      <c r="B165" s="1"/>
      <c r="C165" s="1"/>
      <c r="D165" s="1"/>
      <c r="E165" s="1"/>
    </row>
    <row r="166" ht="15.75" customHeight="1">
      <c r="A166" s="1"/>
      <c r="B166" s="1"/>
      <c r="C166" s="1"/>
      <c r="D166" s="1"/>
      <c r="E166" s="1"/>
    </row>
    <row r="167" ht="15.75" customHeight="1">
      <c r="A167" s="1"/>
      <c r="B167" s="1"/>
      <c r="C167" s="1"/>
      <c r="D167" s="1"/>
      <c r="E167" s="1"/>
    </row>
    <row r="168" ht="15.75" customHeight="1">
      <c r="A168" s="1"/>
      <c r="B168" s="1"/>
      <c r="C168" s="1"/>
      <c r="D168" s="1"/>
      <c r="E168" s="1"/>
    </row>
    <row r="169" ht="15.75" customHeight="1">
      <c r="A169" s="1"/>
      <c r="B169" s="1"/>
      <c r="C169" s="1"/>
      <c r="D169" s="1"/>
      <c r="E169" s="1"/>
    </row>
    <row r="170" ht="15.75" customHeight="1">
      <c r="A170" s="1"/>
      <c r="B170" s="1"/>
      <c r="C170" s="1"/>
      <c r="D170" s="1"/>
      <c r="E170" s="1"/>
    </row>
    <row r="171" ht="15.75" customHeight="1">
      <c r="A171" s="1"/>
      <c r="B171" s="1"/>
      <c r="C171" s="1"/>
      <c r="D171" s="1"/>
      <c r="E171" s="1"/>
    </row>
    <row r="172" ht="15.75" customHeight="1">
      <c r="A172" s="1"/>
      <c r="B172" s="1"/>
      <c r="C172" s="1"/>
      <c r="D172" s="1"/>
      <c r="E172" s="1"/>
    </row>
    <row r="173" ht="15.75" customHeight="1">
      <c r="A173" s="1"/>
      <c r="B173" s="1"/>
      <c r="C173" s="1"/>
      <c r="D173" s="1"/>
      <c r="E173" s="1"/>
    </row>
    <row r="174" ht="15.75" customHeight="1">
      <c r="A174" s="1"/>
      <c r="B174" s="1"/>
      <c r="C174" s="1"/>
      <c r="D174" s="1"/>
      <c r="E174" s="1"/>
    </row>
    <row r="175" ht="15.75" customHeight="1">
      <c r="A175" s="1"/>
      <c r="B175" s="1"/>
      <c r="C175" s="1"/>
      <c r="D175" s="1"/>
      <c r="E175" s="1"/>
    </row>
    <row r="176" ht="15.75" customHeight="1">
      <c r="A176" s="1"/>
      <c r="B176" s="1"/>
      <c r="C176" s="1"/>
      <c r="D176" s="1"/>
      <c r="E176" s="1"/>
    </row>
    <row r="177" ht="15.75" customHeight="1">
      <c r="A177" s="1"/>
      <c r="B177" s="1"/>
      <c r="C177" s="1"/>
      <c r="D177" s="1"/>
      <c r="E177" s="1"/>
    </row>
    <row r="178" ht="15.75" customHeight="1">
      <c r="A178" s="1"/>
      <c r="B178" s="1"/>
      <c r="C178" s="1"/>
      <c r="D178" s="1"/>
      <c r="E178" s="1"/>
    </row>
    <row r="179" ht="15.75" customHeight="1">
      <c r="A179" s="1"/>
      <c r="B179" s="1"/>
      <c r="C179" s="1"/>
      <c r="D179" s="1"/>
      <c r="E179" s="1"/>
    </row>
    <row r="180" ht="15.75" customHeight="1">
      <c r="A180" s="1"/>
      <c r="B180" s="1"/>
      <c r="C180" s="1"/>
      <c r="D180" s="1"/>
      <c r="E180" s="1"/>
    </row>
    <row r="181" ht="15.75" customHeight="1">
      <c r="A181" s="1"/>
      <c r="B181" s="1"/>
      <c r="C181" s="1"/>
      <c r="D181" s="1"/>
      <c r="E181" s="1"/>
    </row>
    <row r="182" ht="15.75" customHeight="1">
      <c r="A182" s="1"/>
      <c r="B182" s="1"/>
      <c r="C182" s="1"/>
      <c r="D182" s="1"/>
      <c r="E182" s="1"/>
    </row>
    <row r="183" ht="15.75" customHeight="1">
      <c r="A183" s="1"/>
      <c r="B183" s="1"/>
      <c r="C183" s="1"/>
      <c r="D183" s="1"/>
      <c r="E183" s="1"/>
    </row>
    <row r="184" ht="15.75" customHeight="1">
      <c r="A184" s="1"/>
      <c r="B184" s="1"/>
      <c r="C184" s="1"/>
      <c r="D184" s="1"/>
      <c r="E184" s="1"/>
    </row>
    <row r="185" ht="15.75" customHeight="1">
      <c r="A185" s="1"/>
      <c r="B185" s="1"/>
      <c r="C185" s="1"/>
      <c r="D185" s="1"/>
      <c r="E185" s="1"/>
    </row>
    <row r="186" ht="15.75" customHeight="1">
      <c r="A186" s="1"/>
      <c r="B186" s="1"/>
      <c r="C186" s="1"/>
      <c r="D186" s="1"/>
      <c r="E186" s="1"/>
    </row>
    <row r="187" ht="15.75" customHeight="1">
      <c r="A187" s="1"/>
      <c r="B187" s="1"/>
      <c r="C187" s="1"/>
      <c r="D187" s="1"/>
      <c r="E187" s="1"/>
    </row>
    <row r="188" ht="15.75" customHeight="1">
      <c r="A188" s="1"/>
      <c r="B188" s="1"/>
      <c r="C188" s="1"/>
      <c r="D188" s="1"/>
      <c r="E188" s="1"/>
    </row>
    <row r="189" ht="15.75" customHeight="1">
      <c r="A189" s="1"/>
      <c r="B189" s="1"/>
      <c r="C189" s="1"/>
      <c r="D189" s="1"/>
      <c r="E189" s="1"/>
    </row>
    <row r="190" ht="15.75" customHeight="1">
      <c r="A190" s="1"/>
      <c r="B190" s="1"/>
      <c r="C190" s="1"/>
      <c r="D190" s="1"/>
      <c r="E190" s="1"/>
    </row>
    <row r="191" ht="15.75" customHeight="1">
      <c r="A191" s="1"/>
      <c r="B191" s="1"/>
      <c r="C191" s="1"/>
      <c r="D191" s="1"/>
      <c r="E191" s="1"/>
    </row>
    <row r="192" ht="15.75" customHeight="1">
      <c r="A192" s="1"/>
      <c r="B192" s="1"/>
      <c r="C192" s="1"/>
      <c r="D192" s="1"/>
      <c r="E192" s="1"/>
    </row>
    <row r="193" ht="15.75" customHeight="1">
      <c r="A193" s="1"/>
      <c r="B193" s="1"/>
      <c r="C193" s="1"/>
      <c r="D193" s="1"/>
      <c r="E193" s="1"/>
    </row>
    <row r="194" ht="15.75" customHeight="1">
      <c r="A194" s="1"/>
      <c r="B194" s="1"/>
      <c r="C194" s="1"/>
      <c r="D194" s="1"/>
      <c r="E194" s="1"/>
    </row>
    <row r="195" ht="15.75" customHeight="1">
      <c r="A195" s="1"/>
      <c r="B195" s="1"/>
      <c r="C195" s="1"/>
      <c r="D195" s="1"/>
      <c r="E195" s="1"/>
    </row>
    <row r="196" ht="15.75" customHeight="1">
      <c r="A196" s="1"/>
      <c r="B196" s="1"/>
      <c r="C196" s="1"/>
      <c r="D196" s="1"/>
      <c r="E196" s="1"/>
    </row>
    <row r="197" ht="15.75" customHeight="1">
      <c r="A197" s="1"/>
      <c r="B197" s="1"/>
      <c r="C197" s="1"/>
      <c r="D197" s="1"/>
      <c r="E197" s="1"/>
    </row>
    <row r="198" ht="15.75" customHeight="1">
      <c r="A198" s="1"/>
      <c r="B198" s="1"/>
      <c r="C198" s="1"/>
      <c r="D198" s="1"/>
      <c r="E198" s="1"/>
    </row>
    <row r="199" ht="15.75" customHeight="1">
      <c r="A199" s="1"/>
      <c r="B199" s="1"/>
      <c r="C199" s="1"/>
      <c r="D199" s="1"/>
      <c r="E199" s="1"/>
    </row>
    <row r="200" ht="15.75" customHeight="1">
      <c r="A200" s="1"/>
      <c r="B200" s="1"/>
      <c r="C200" s="1"/>
      <c r="D200" s="1"/>
      <c r="E200" s="1"/>
    </row>
    <row r="201" ht="15.75" customHeight="1">
      <c r="A201" s="1"/>
      <c r="B201" s="1"/>
      <c r="C201" s="1"/>
      <c r="D201" s="1"/>
      <c r="E201" s="1"/>
    </row>
    <row r="202" ht="15.75" customHeight="1">
      <c r="A202" s="1"/>
      <c r="B202" s="1"/>
      <c r="C202" s="1"/>
      <c r="D202" s="1"/>
      <c r="E202" s="1"/>
    </row>
    <row r="203" ht="15.75" customHeight="1">
      <c r="A203" s="1"/>
      <c r="B203" s="1"/>
      <c r="C203" s="1"/>
      <c r="D203" s="1"/>
      <c r="E203" s="1"/>
    </row>
    <row r="204" ht="15.75" customHeight="1">
      <c r="A204" s="1"/>
      <c r="B204" s="1"/>
      <c r="C204" s="1"/>
      <c r="D204" s="1"/>
      <c r="E204" s="1"/>
    </row>
    <row r="205" ht="15.75" customHeight="1">
      <c r="A205" s="1"/>
      <c r="B205" s="1"/>
      <c r="C205" s="1"/>
      <c r="D205" s="1"/>
      <c r="E205" s="1"/>
    </row>
    <row r="206" ht="15.75" customHeight="1">
      <c r="A206" s="1"/>
      <c r="B206" s="1"/>
      <c r="C206" s="1"/>
      <c r="D206" s="1"/>
      <c r="E206" s="1"/>
    </row>
    <row r="207" ht="15.75" customHeight="1">
      <c r="A207" s="1"/>
      <c r="B207" s="1"/>
      <c r="C207" s="1"/>
      <c r="D207" s="1"/>
      <c r="E207" s="1"/>
    </row>
    <row r="208" ht="15.75" customHeight="1">
      <c r="A208" s="1"/>
      <c r="B208" s="1"/>
      <c r="C208" s="1"/>
      <c r="D208" s="1"/>
      <c r="E208" s="1"/>
    </row>
    <row r="209" ht="15.75" customHeight="1">
      <c r="A209" s="1"/>
      <c r="B209" s="1"/>
      <c r="C209" s="1"/>
      <c r="D209" s="1"/>
      <c r="E209" s="1"/>
    </row>
    <row r="210" ht="15.75" customHeight="1">
      <c r="A210" s="1"/>
      <c r="B210" s="1"/>
      <c r="C210" s="1"/>
      <c r="D210" s="1"/>
      <c r="E210" s="1"/>
    </row>
    <row r="211" ht="15.75" customHeight="1">
      <c r="A211" s="1"/>
      <c r="B211" s="1"/>
      <c r="C211" s="1"/>
      <c r="D211" s="1"/>
      <c r="E211" s="1"/>
    </row>
    <row r="212" ht="15.75" customHeight="1">
      <c r="A212" s="1"/>
      <c r="B212" s="1"/>
      <c r="C212" s="1"/>
      <c r="D212" s="1"/>
      <c r="E212" s="1"/>
    </row>
    <row r="213" ht="15.75" customHeight="1">
      <c r="A213" s="1"/>
      <c r="B213" s="1"/>
      <c r="C213" s="1"/>
      <c r="D213" s="1"/>
      <c r="E213" s="1"/>
    </row>
    <row r="214" ht="15.75" customHeight="1">
      <c r="A214" s="1"/>
      <c r="B214" s="1"/>
      <c r="C214" s="1"/>
      <c r="D214" s="1"/>
      <c r="E214" s="1"/>
    </row>
    <row r="215" ht="15.75" customHeight="1">
      <c r="A215" s="1"/>
      <c r="B215" s="1"/>
      <c r="C215" s="1"/>
      <c r="D215" s="1"/>
      <c r="E215" s="1"/>
    </row>
    <row r="216" ht="15.75" customHeight="1">
      <c r="A216" s="1"/>
      <c r="B216" s="1"/>
      <c r="C216" s="1"/>
      <c r="D216" s="1"/>
      <c r="E216" s="1"/>
    </row>
    <row r="217" ht="15.75" customHeight="1">
      <c r="A217" s="1"/>
      <c r="B217" s="1"/>
      <c r="C217" s="1"/>
      <c r="D217" s="1"/>
      <c r="E217" s="1"/>
    </row>
    <row r="218" ht="15.75" customHeight="1">
      <c r="A218" s="1"/>
      <c r="B218" s="1"/>
      <c r="C218" s="1"/>
      <c r="D218" s="1"/>
      <c r="E218" s="1"/>
    </row>
    <row r="219" ht="15.75" customHeight="1">
      <c r="A219" s="1"/>
      <c r="B219" s="1"/>
      <c r="C219" s="1"/>
      <c r="D219" s="1"/>
      <c r="E219" s="1"/>
    </row>
    <row r="220" ht="15.75" customHeight="1">
      <c r="A220" s="1"/>
      <c r="B220" s="1"/>
      <c r="C220" s="1"/>
      <c r="D220" s="1"/>
      <c r="E220" s="1"/>
    </row>
    <row r="221" ht="15.75" customHeight="1">
      <c r="A221" s="1"/>
      <c r="B221" s="1"/>
      <c r="C221" s="1"/>
      <c r="D221" s="1"/>
      <c r="E221" s="1"/>
    </row>
    <row r="222" ht="15.75" customHeight="1">
      <c r="A222" s="1"/>
      <c r="B222" s="1"/>
      <c r="C222" s="1"/>
      <c r="D222" s="1"/>
      <c r="E222" s="1"/>
    </row>
    <row r="223" ht="15.75" customHeight="1">
      <c r="A223" s="1"/>
      <c r="B223" s="1"/>
      <c r="C223" s="1"/>
      <c r="D223" s="1"/>
      <c r="E223" s="1"/>
    </row>
    <row r="224" ht="15.75" customHeight="1">
      <c r="A224" s="1"/>
      <c r="B224" s="1"/>
      <c r="C224" s="1"/>
      <c r="D224" s="1"/>
      <c r="E224" s="1"/>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1:C1"/>
    <mergeCell ref="B3:C3"/>
    <mergeCell ref="B13:C13"/>
    <mergeCell ref="B21:C21"/>
    <mergeCell ref="B24:C25"/>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pageSetUpPr/>
  </sheetPr>
  <sheetViews>
    <sheetView showGridLines="0" workbookViewId="0"/>
  </sheetViews>
  <sheetFormatPr customHeight="1" defaultColWidth="14.43" defaultRowHeight="15.0"/>
  <cols>
    <col customWidth="1" min="1" max="1" width="3.0"/>
    <col customWidth="1" min="2" max="2" width="56.29"/>
    <col customWidth="1" min="3" max="3" width="29.71"/>
    <col customWidth="1" min="4" max="5" width="8.71"/>
    <col customWidth="1" min="6" max="6" width="14.43"/>
  </cols>
  <sheetData>
    <row r="1" ht="19.5" customHeight="1">
      <c r="A1" s="1"/>
      <c r="B1" s="3" t="s">
        <v>203</v>
      </c>
      <c r="D1" s="1"/>
      <c r="E1" s="1"/>
    </row>
    <row r="2" ht="15.0" customHeight="1">
      <c r="A2" s="1"/>
      <c r="B2" s="1"/>
      <c r="C2" s="1"/>
      <c r="D2" s="1"/>
      <c r="E2" s="1"/>
    </row>
    <row r="3" ht="15.0" customHeight="1">
      <c r="A3" s="1"/>
      <c r="B3" s="5" t="s">
        <v>205</v>
      </c>
      <c r="D3" s="1"/>
      <c r="E3" s="1"/>
    </row>
    <row r="4" ht="15.0" customHeight="1">
      <c r="A4" s="1"/>
      <c r="B4" s="13" t="s">
        <v>206</v>
      </c>
      <c r="C4" s="116">
        <f t="array" ref="C4">SUMPRODUCT(('Budget Input'!$B$5:$B$39="Expense")*(ISNUMBER(MATCH('Budget Input'!$C$5:$C$39,{"Housing";"Transportation";"Food";"Utilities";"Insurance"},0)))*('Budget Input'!$D$5:$D$39))+'Debt Payoff'!$M$5</f>
        <v>3500</v>
      </c>
      <c r="D4" s="1"/>
      <c r="E4" s="1"/>
    </row>
    <row r="5" ht="15.0" customHeight="1">
      <c r="A5" s="1"/>
      <c r="B5" s="13" t="s">
        <v>208</v>
      </c>
      <c r="C5" s="146">
        <v>6.0</v>
      </c>
      <c r="D5" s="1"/>
      <c r="E5" s="1"/>
    </row>
    <row r="6" ht="15.0" customHeight="1">
      <c r="A6" s="1"/>
      <c r="B6" s="13" t="s">
        <v>209</v>
      </c>
      <c r="C6" s="116">
        <f>'Net Worth'!C6</f>
        <v>10000</v>
      </c>
      <c r="D6" s="1"/>
      <c r="E6" s="1"/>
    </row>
    <row r="7" ht="15.0" customHeight="1">
      <c r="A7" s="1"/>
      <c r="B7" s="1"/>
      <c r="C7" s="1"/>
      <c r="D7" s="1"/>
      <c r="E7" s="1"/>
    </row>
    <row r="8" ht="15.0" customHeight="1">
      <c r="A8" s="1"/>
      <c r="B8" s="5" t="s">
        <v>178</v>
      </c>
      <c r="D8" s="1"/>
      <c r="E8" s="1"/>
    </row>
    <row r="9" ht="15.0" customHeight="1">
      <c r="A9" s="1"/>
      <c r="B9" s="104" t="s">
        <v>210</v>
      </c>
      <c r="C9" s="147">
        <f>C4*C5</f>
        <v>21000</v>
      </c>
      <c r="D9" s="1"/>
      <c r="E9" s="1"/>
    </row>
    <row r="10" ht="15.0" customHeight="1">
      <c r="A10" s="1"/>
      <c r="B10" s="104" t="s">
        <v>211</v>
      </c>
      <c r="C10" s="148">
        <f>IFERROR(MIN(C6/C9,1),0)</f>
        <v>0.4761904762</v>
      </c>
      <c r="D10" s="1"/>
      <c r="E10" s="1"/>
    </row>
    <row r="11" ht="15.0" customHeight="1">
      <c r="A11" s="1"/>
      <c r="B11" s="13" t="s">
        <v>212</v>
      </c>
      <c r="C11" s="149">
        <f>IFERROR(C6/C4,0)</f>
        <v>2.857142857</v>
      </c>
      <c r="D11" s="1"/>
      <c r="E11" s="1"/>
    </row>
    <row r="12" ht="54.75" customHeight="1">
      <c r="A12" s="1"/>
      <c r="B12" s="13" t="s">
        <v>213</v>
      </c>
      <c r="C12" s="120" t="str">
        <f>IF(C10&gt;=1,"Fully funded — nice work. Consider directing extra cash to debt or investing instead.",IF(C10&gt;=0.5,"Over halfway there. Keep the momentum going.","Just getting started — even $25/month builds real momentum here."))</f>
        <v>Just getting started — even $25/month builds real momentum here.</v>
      </c>
      <c r="D12" s="1"/>
      <c r="E12" s="1"/>
    </row>
    <row r="13" ht="15.0" customHeight="1">
      <c r="A13" s="1"/>
      <c r="B13" s="1"/>
      <c r="C13" s="1"/>
      <c r="D13" s="1"/>
      <c r="E13" s="1"/>
    </row>
    <row r="14" ht="15.0" customHeight="1">
      <c r="A14" s="1"/>
      <c r="B14" s="5" t="s">
        <v>214</v>
      </c>
      <c r="D14" s="1"/>
      <c r="E14" s="1"/>
    </row>
    <row r="15" ht="15.0" customHeight="1">
      <c r="A15" s="1"/>
      <c r="B15" s="13" t="s">
        <v>215</v>
      </c>
      <c r="C15" s="150">
        <v>300.0</v>
      </c>
      <c r="D15" s="1"/>
      <c r="E15" s="1"/>
    </row>
    <row r="16" ht="15.0" customHeight="1">
      <c r="A16" s="1"/>
      <c r="B16" s="104" t="s">
        <v>216</v>
      </c>
      <c r="C16" s="151">
        <f>IF(C6&gt;=C9,0,IF(C15&lt;=0,"Enter a monthly amount above",ROUNDUP((C9-C6)/C15,0)))</f>
        <v>37</v>
      </c>
      <c r="D16" s="1"/>
      <c r="E16" s="1"/>
    </row>
    <row r="17" ht="15.0" customHeight="1">
      <c r="A17" s="1"/>
      <c r="B17" s="104" t="s">
        <v>217</v>
      </c>
      <c r="C17" s="151" t="str">
        <f>IF(C6&gt;=C9,"Goal already reached",IF(ISNUMBER(C16),TEXT(EDATE(TODAY(),C16),"mmm yyyy"),"-"))</f>
        <v>Sep 2029</v>
      </c>
      <c r="D17" s="1"/>
      <c r="E17" s="1"/>
    </row>
    <row r="18" ht="15.0" customHeight="1">
      <c r="A18" s="1"/>
      <c r="B18" s="1"/>
      <c r="C18" s="1"/>
      <c r="D18" s="1"/>
      <c r="E18" s="1"/>
    </row>
    <row r="19" ht="15.0" customHeight="1">
      <c r="A19" s="1"/>
      <c r="B19" s="144" t="s">
        <v>218</v>
      </c>
      <c r="C19" s="45"/>
      <c r="D19" s="1"/>
      <c r="E19" s="1"/>
    </row>
    <row r="20" ht="52.5" customHeight="1">
      <c r="A20" s="1"/>
      <c r="B20" s="47"/>
      <c r="C20" s="49"/>
      <c r="D20" s="1"/>
      <c r="E20" s="1"/>
    </row>
    <row r="21" ht="15.75" customHeight="1">
      <c r="A21" s="1"/>
      <c r="B21" s="1"/>
      <c r="C21" s="1"/>
      <c r="D21" s="1"/>
      <c r="E21" s="1"/>
    </row>
    <row r="22" ht="15.75" customHeight="1">
      <c r="A22" s="1"/>
      <c r="B22" s="1"/>
      <c r="C22" s="1"/>
      <c r="D22" s="1"/>
      <c r="E22" s="1"/>
    </row>
    <row r="23" ht="15.75" customHeight="1">
      <c r="A23" s="1"/>
      <c r="B23" s="1"/>
      <c r="C23" s="1"/>
      <c r="D23" s="1"/>
      <c r="E23" s="1"/>
    </row>
    <row r="24" ht="15.75" customHeight="1">
      <c r="A24" s="1"/>
      <c r="B24" s="1"/>
      <c r="C24" s="1"/>
      <c r="D24" s="1"/>
      <c r="E24" s="1"/>
    </row>
    <row r="25" ht="15.75" customHeight="1">
      <c r="A25" s="1"/>
      <c r="B25" s="1"/>
      <c r="C25" s="1"/>
      <c r="D25" s="1"/>
      <c r="E25" s="1"/>
    </row>
    <row r="26" ht="15.75" customHeight="1">
      <c r="A26" s="1"/>
      <c r="B26" s="1"/>
      <c r="C26" s="1"/>
      <c r="D26" s="1"/>
      <c r="E26" s="1"/>
    </row>
    <row r="27" ht="15.75" customHeight="1">
      <c r="A27" s="1"/>
      <c r="B27" s="1"/>
      <c r="C27" s="1"/>
      <c r="D27" s="1"/>
      <c r="E27" s="1"/>
    </row>
    <row r="28" ht="15.75" customHeight="1">
      <c r="A28" s="1"/>
      <c r="B28" s="1"/>
      <c r="C28" s="1"/>
      <c r="D28" s="1"/>
      <c r="E28" s="1"/>
    </row>
    <row r="29" ht="15.75" customHeight="1">
      <c r="A29" s="1"/>
      <c r="B29" s="1"/>
      <c r="C29" s="1"/>
      <c r="D29" s="1"/>
      <c r="E29" s="1"/>
    </row>
    <row r="30" ht="15.75" customHeight="1">
      <c r="A30" s="1"/>
      <c r="B30" s="1"/>
      <c r="C30" s="1"/>
      <c r="D30" s="1"/>
      <c r="E30" s="1"/>
    </row>
    <row r="31" ht="15.75" customHeight="1">
      <c r="A31" s="1"/>
      <c r="B31" s="1"/>
      <c r="C31" s="1"/>
      <c r="D31" s="1"/>
      <c r="E31" s="1"/>
    </row>
    <row r="32" ht="15.75" customHeight="1">
      <c r="A32" s="1"/>
      <c r="B32" s="1"/>
      <c r="C32" s="1"/>
      <c r="D32" s="1"/>
      <c r="E32" s="1"/>
    </row>
    <row r="33" ht="15.75" customHeight="1">
      <c r="A33" s="1"/>
      <c r="B33" s="1"/>
      <c r="C33" s="1"/>
      <c r="D33" s="1"/>
      <c r="E33" s="1"/>
    </row>
    <row r="34" ht="15.75" customHeight="1">
      <c r="A34" s="1"/>
      <c r="B34" s="1"/>
      <c r="C34" s="1"/>
      <c r="D34" s="1"/>
      <c r="E34" s="1"/>
    </row>
    <row r="35" ht="15.75" customHeight="1">
      <c r="A35" s="1"/>
      <c r="B35" s="1"/>
      <c r="C35" s="1"/>
      <c r="D35" s="1"/>
      <c r="E35" s="1"/>
    </row>
    <row r="36" ht="15.75" customHeight="1">
      <c r="A36" s="1"/>
      <c r="B36" s="1"/>
      <c r="C36" s="1"/>
      <c r="D36" s="1"/>
      <c r="E36" s="1"/>
    </row>
    <row r="37" ht="15.75" customHeight="1">
      <c r="A37" s="1"/>
      <c r="B37" s="1"/>
      <c r="C37" s="1"/>
      <c r="D37" s="1"/>
      <c r="E37" s="1"/>
    </row>
    <row r="38" ht="15.75" customHeight="1">
      <c r="A38" s="1"/>
      <c r="B38" s="1"/>
      <c r="C38" s="1"/>
      <c r="D38" s="1"/>
      <c r="E38" s="1"/>
    </row>
    <row r="39" ht="15.75" customHeight="1">
      <c r="A39" s="1"/>
      <c r="B39" s="1"/>
      <c r="C39" s="1"/>
      <c r="D39" s="1"/>
      <c r="E39" s="1"/>
    </row>
    <row r="40" ht="15.75" customHeight="1">
      <c r="A40" s="1"/>
      <c r="B40" s="1"/>
      <c r="C40" s="1"/>
      <c r="D40" s="1"/>
      <c r="E40" s="1"/>
    </row>
    <row r="41" ht="15.75" customHeight="1">
      <c r="A41" s="1"/>
      <c r="B41" s="1"/>
      <c r="C41" s="1"/>
      <c r="D41" s="1"/>
      <c r="E41" s="1"/>
    </row>
    <row r="42" ht="15.75" customHeight="1">
      <c r="A42" s="1"/>
      <c r="B42" s="1"/>
      <c r="C42" s="1"/>
      <c r="D42" s="1"/>
      <c r="E42" s="1"/>
    </row>
    <row r="43" ht="15.75" customHeight="1">
      <c r="A43" s="1"/>
      <c r="B43" s="1"/>
      <c r="C43" s="1"/>
      <c r="D43" s="1"/>
      <c r="E43" s="1"/>
    </row>
    <row r="44" ht="15.75" customHeight="1">
      <c r="A44" s="1"/>
      <c r="B44" s="1"/>
      <c r="C44" s="1"/>
      <c r="D44" s="1"/>
      <c r="E44" s="1"/>
    </row>
    <row r="45" ht="15.75" customHeight="1">
      <c r="A45" s="1"/>
      <c r="B45" s="1"/>
      <c r="C45" s="1"/>
      <c r="D45" s="1"/>
      <c r="E45" s="1"/>
    </row>
    <row r="46" ht="15.75" customHeight="1">
      <c r="A46" s="1"/>
      <c r="B46" s="1"/>
      <c r="C46" s="1"/>
      <c r="D46" s="1"/>
      <c r="E46" s="1"/>
    </row>
    <row r="47" ht="15.75" customHeight="1">
      <c r="A47" s="1"/>
      <c r="B47" s="1"/>
      <c r="C47" s="1"/>
      <c r="D47" s="1"/>
      <c r="E47" s="1"/>
    </row>
    <row r="48" ht="15.75" customHeight="1">
      <c r="A48" s="1"/>
      <c r="B48" s="1"/>
      <c r="C48" s="1"/>
      <c r="D48" s="1"/>
      <c r="E48" s="1"/>
    </row>
    <row r="49" ht="15.75" customHeight="1">
      <c r="A49" s="1"/>
      <c r="B49" s="1"/>
      <c r="C49" s="1"/>
      <c r="D49" s="1"/>
      <c r="E49" s="1"/>
    </row>
    <row r="50" ht="15.75" customHeight="1">
      <c r="A50" s="1"/>
      <c r="B50" s="1"/>
      <c r="C50" s="1"/>
      <c r="D50" s="1"/>
      <c r="E50" s="1"/>
    </row>
    <row r="51" ht="15.75" customHeight="1">
      <c r="A51" s="1"/>
      <c r="B51" s="1"/>
      <c r="C51" s="1"/>
      <c r="D51" s="1"/>
      <c r="E51" s="1"/>
    </row>
    <row r="52" ht="15.75" customHeight="1">
      <c r="A52" s="1"/>
      <c r="B52" s="1"/>
      <c r="C52" s="1"/>
      <c r="D52" s="1"/>
      <c r="E52" s="1"/>
    </row>
    <row r="53" ht="15.75" customHeight="1">
      <c r="A53" s="1"/>
      <c r="B53" s="1"/>
      <c r="C53" s="1"/>
      <c r="D53" s="1"/>
      <c r="E53" s="1"/>
    </row>
    <row r="54" ht="15.75" customHeight="1">
      <c r="A54" s="1"/>
      <c r="B54" s="1"/>
      <c r="C54" s="1"/>
      <c r="D54" s="1"/>
      <c r="E54" s="1"/>
    </row>
    <row r="55" ht="15.75" customHeight="1">
      <c r="A55" s="1"/>
      <c r="B55" s="1"/>
      <c r="C55" s="1"/>
      <c r="D55" s="1"/>
      <c r="E55" s="1"/>
    </row>
    <row r="56" ht="15.75" customHeight="1">
      <c r="A56" s="1"/>
      <c r="B56" s="1"/>
      <c r="C56" s="1"/>
      <c r="D56" s="1"/>
      <c r="E56" s="1"/>
    </row>
    <row r="57" ht="15.75" customHeight="1">
      <c r="A57" s="1"/>
      <c r="B57" s="1"/>
      <c r="C57" s="1"/>
      <c r="D57" s="1"/>
      <c r="E57" s="1"/>
    </row>
    <row r="58" ht="15.75" customHeight="1">
      <c r="A58" s="1"/>
      <c r="B58" s="1"/>
      <c r="C58" s="1"/>
      <c r="D58" s="1"/>
      <c r="E58" s="1"/>
    </row>
    <row r="59" ht="15.75" customHeight="1">
      <c r="A59" s="1"/>
      <c r="B59" s="1"/>
      <c r="C59" s="1"/>
      <c r="D59" s="1"/>
      <c r="E59" s="1"/>
    </row>
    <row r="60" ht="15.75" customHeight="1">
      <c r="A60" s="1"/>
      <c r="B60" s="1"/>
      <c r="C60" s="1"/>
      <c r="D60" s="1"/>
      <c r="E60" s="1"/>
    </row>
    <row r="61" ht="15.75" customHeight="1">
      <c r="A61" s="1"/>
      <c r="B61" s="1"/>
      <c r="C61" s="1"/>
      <c r="D61" s="1"/>
      <c r="E61" s="1"/>
    </row>
    <row r="62" ht="15.75" customHeight="1">
      <c r="A62" s="1"/>
      <c r="B62" s="1"/>
      <c r="C62" s="1"/>
      <c r="D62" s="1"/>
      <c r="E62" s="1"/>
    </row>
    <row r="63" ht="15.75" customHeight="1">
      <c r="A63" s="1"/>
      <c r="B63" s="1"/>
      <c r="C63" s="1"/>
      <c r="D63" s="1"/>
      <c r="E63" s="1"/>
    </row>
    <row r="64" ht="15.75" customHeight="1">
      <c r="A64" s="1"/>
      <c r="B64" s="1"/>
      <c r="C64" s="1"/>
      <c r="D64" s="1"/>
      <c r="E64" s="1"/>
    </row>
    <row r="65" ht="15.75" customHeight="1">
      <c r="A65" s="1"/>
      <c r="B65" s="1"/>
      <c r="C65" s="1"/>
      <c r="D65" s="1"/>
      <c r="E65" s="1"/>
    </row>
    <row r="66" ht="15.75" customHeight="1">
      <c r="A66" s="1"/>
      <c r="B66" s="1"/>
      <c r="C66" s="1"/>
      <c r="D66" s="1"/>
      <c r="E66" s="1"/>
    </row>
    <row r="67" ht="15.75" customHeight="1">
      <c r="A67" s="1"/>
      <c r="B67" s="1"/>
      <c r="C67" s="1"/>
      <c r="D67" s="1"/>
      <c r="E67" s="1"/>
    </row>
    <row r="68" ht="15.75" customHeight="1">
      <c r="A68" s="1"/>
      <c r="B68" s="1"/>
      <c r="C68" s="1"/>
      <c r="D68" s="1"/>
      <c r="E68" s="1"/>
    </row>
    <row r="69" ht="15.75" customHeight="1">
      <c r="A69" s="1"/>
      <c r="B69" s="1"/>
      <c r="C69" s="1"/>
      <c r="D69" s="1"/>
      <c r="E69" s="1"/>
    </row>
    <row r="70" ht="15.75" customHeight="1">
      <c r="A70" s="1"/>
      <c r="B70" s="1"/>
      <c r="C70" s="1"/>
      <c r="D70" s="1"/>
      <c r="E70" s="1"/>
    </row>
    <row r="71" ht="15.75" customHeight="1">
      <c r="A71" s="1"/>
      <c r="B71" s="1"/>
      <c r="C71" s="1"/>
      <c r="D71" s="1"/>
      <c r="E71" s="1"/>
    </row>
    <row r="72" ht="15.75" customHeight="1">
      <c r="A72" s="1"/>
      <c r="B72" s="1"/>
      <c r="C72" s="1"/>
      <c r="D72" s="1"/>
      <c r="E72" s="1"/>
    </row>
    <row r="73" ht="15.75" customHeight="1">
      <c r="A73" s="1"/>
      <c r="B73" s="1"/>
      <c r="C73" s="1"/>
      <c r="D73" s="1"/>
      <c r="E73" s="1"/>
    </row>
    <row r="74" ht="15.75" customHeight="1">
      <c r="A74" s="1"/>
      <c r="B74" s="1"/>
      <c r="C74" s="1"/>
      <c r="D74" s="1"/>
      <c r="E74" s="1"/>
    </row>
    <row r="75" ht="15.75" customHeight="1">
      <c r="A75" s="1"/>
      <c r="B75" s="1"/>
      <c r="C75" s="1"/>
      <c r="D75" s="1"/>
      <c r="E75" s="1"/>
    </row>
    <row r="76" ht="15.75" customHeight="1">
      <c r="A76" s="1"/>
      <c r="B76" s="1"/>
      <c r="C76" s="1"/>
      <c r="D76" s="1"/>
      <c r="E76" s="1"/>
    </row>
    <row r="77" ht="15.75" customHeight="1">
      <c r="A77" s="1"/>
      <c r="B77" s="1"/>
      <c r="C77" s="1"/>
      <c r="D77" s="1"/>
      <c r="E77" s="1"/>
    </row>
    <row r="78" ht="15.75" customHeight="1">
      <c r="A78" s="1"/>
      <c r="B78" s="1"/>
      <c r="C78" s="1"/>
      <c r="D78" s="1"/>
      <c r="E78" s="1"/>
    </row>
    <row r="79" ht="15.75" customHeight="1">
      <c r="A79" s="1"/>
      <c r="B79" s="1"/>
      <c r="C79" s="1"/>
      <c r="D79" s="1"/>
      <c r="E79" s="1"/>
    </row>
    <row r="80" ht="15.75" customHeight="1">
      <c r="A80" s="1"/>
      <c r="B80" s="1"/>
      <c r="C80" s="1"/>
      <c r="D80" s="1"/>
      <c r="E80" s="1"/>
    </row>
    <row r="81" ht="15.75" customHeight="1">
      <c r="A81" s="1"/>
      <c r="B81" s="1"/>
      <c r="C81" s="1"/>
      <c r="D81" s="1"/>
      <c r="E81" s="1"/>
    </row>
    <row r="82" ht="15.75" customHeight="1">
      <c r="A82" s="1"/>
      <c r="B82" s="1"/>
      <c r="C82" s="1"/>
      <c r="D82" s="1"/>
      <c r="E82" s="1"/>
    </row>
    <row r="83" ht="15.75" customHeight="1">
      <c r="A83" s="1"/>
      <c r="B83" s="1"/>
      <c r="C83" s="1"/>
      <c r="D83" s="1"/>
      <c r="E83" s="1"/>
    </row>
    <row r="84" ht="15.75" customHeight="1">
      <c r="A84" s="1"/>
      <c r="B84" s="1"/>
      <c r="C84" s="1"/>
      <c r="D84" s="1"/>
      <c r="E84" s="1"/>
    </row>
    <row r="85" ht="15.75" customHeight="1">
      <c r="A85" s="1"/>
      <c r="B85" s="1"/>
      <c r="C85" s="1"/>
      <c r="D85" s="1"/>
      <c r="E85" s="1"/>
    </row>
    <row r="86" ht="15.75" customHeight="1">
      <c r="A86" s="1"/>
      <c r="B86" s="1"/>
      <c r="C86" s="1"/>
      <c r="D86" s="1"/>
      <c r="E86" s="1"/>
    </row>
    <row r="87" ht="15.75" customHeight="1">
      <c r="A87" s="1"/>
      <c r="B87" s="1"/>
      <c r="C87" s="1"/>
      <c r="D87" s="1"/>
      <c r="E87" s="1"/>
    </row>
    <row r="88" ht="15.75" customHeight="1">
      <c r="A88" s="1"/>
      <c r="B88" s="1"/>
      <c r="C88" s="1"/>
      <c r="D88" s="1"/>
      <c r="E88" s="1"/>
    </row>
    <row r="89" ht="15.75" customHeight="1">
      <c r="A89" s="1"/>
      <c r="B89" s="1"/>
      <c r="C89" s="1"/>
      <c r="D89" s="1"/>
      <c r="E89" s="1"/>
    </row>
    <row r="90" ht="15.75" customHeight="1">
      <c r="A90" s="1"/>
      <c r="B90" s="1"/>
      <c r="C90" s="1"/>
      <c r="D90" s="1"/>
      <c r="E90" s="1"/>
    </row>
    <row r="91" ht="15.75" customHeight="1">
      <c r="A91" s="1"/>
      <c r="B91" s="1"/>
      <c r="C91" s="1"/>
      <c r="D91" s="1"/>
      <c r="E91" s="1"/>
    </row>
    <row r="92" ht="15.75" customHeight="1">
      <c r="A92" s="1"/>
      <c r="B92" s="1"/>
      <c r="C92" s="1"/>
      <c r="D92" s="1"/>
      <c r="E92" s="1"/>
    </row>
    <row r="93" ht="15.75" customHeight="1">
      <c r="A93" s="1"/>
      <c r="B93" s="1"/>
      <c r="C93" s="1"/>
      <c r="D93" s="1"/>
      <c r="E93" s="1"/>
    </row>
    <row r="94" ht="15.75" customHeight="1">
      <c r="A94" s="1"/>
      <c r="B94" s="1"/>
      <c r="C94" s="1"/>
      <c r="D94" s="1"/>
      <c r="E94" s="1"/>
    </row>
    <row r="95" ht="15.75" customHeight="1">
      <c r="A95" s="1"/>
      <c r="B95" s="1"/>
      <c r="C95" s="1"/>
      <c r="D95" s="1"/>
      <c r="E95" s="1"/>
    </row>
    <row r="96" ht="15.75" customHeight="1">
      <c r="A96" s="1"/>
      <c r="B96" s="1"/>
      <c r="C96" s="1"/>
      <c r="D96" s="1"/>
      <c r="E96" s="1"/>
    </row>
    <row r="97" ht="15.75" customHeight="1">
      <c r="A97" s="1"/>
      <c r="B97" s="1"/>
      <c r="C97" s="1"/>
      <c r="D97" s="1"/>
      <c r="E97" s="1"/>
    </row>
    <row r="98" ht="15.75" customHeight="1">
      <c r="A98" s="1"/>
      <c r="B98" s="1"/>
      <c r="C98" s="1"/>
      <c r="D98" s="1"/>
      <c r="E98" s="1"/>
    </row>
    <row r="99" ht="15.75" customHeight="1">
      <c r="A99" s="1"/>
      <c r="B99" s="1"/>
      <c r="C99" s="1"/>
      <c r="D99" s="1"/>
      <c r="E99" s="1"/>
    </row>
    <row r="100" ht="15.75" customHeight="1">
      <c r="A100" s="1"/>
      <c r="B100" s="1"/>
      <c r="C100" s="1"/>
      <c r="D100" s="1"/>
      <c r="E100" s="1"/>
    </row>
    <row r="101" ht="15.75" customHeight="1">
      <c r="A101" s="1"/>
      <c r="B101" s="1"/>
      <c r="C101" s="1"/>
      <c r="D101" s="1"/>
      <c r="E101" s="1"/>
    </row>
    <row r="102" ht="15.75" customHeight="1">
      <c r="A102" s="1"/>
      <c r="B102" s="1"/>
      <c r="C102" s="1"/>
      <c r="D102" s="1"/>
      <c r="E102" s="1"/>
    </row>
    <row r="103" ht="15.75" customHeight="1">
      <c r="A103" s="1"/>
      <c r="B103" s="1"/>
      <c r="C103" s="1"/>
      <c r="D103" s="1"/>
      <c r="E103" s="1"/>
    </row>
    <row r="104" ht="15.75" customHeight="1">
      <c r="A104" s="1"/>
      <c r="B104" s="1"/>
      <c r="C104" s="1"/>
      <c r="D104" s="1"/>
      <c r="E104" s="1"/>
    </row>
    <row r="105" ht="15.75" customHeight="1">
      <c r="A105" s="1"/>
      <c r="B105" s="1"/>
      <c r="C105" s="1"/>
      <c r="D105" s="1"/>
      <c r="E105" s="1"/>
    </row>
    <row r="106" ht="15.75" customHeight="1">
      <c r="A106" s="1"/>
      <c r="B106" s="1"/>
      <c r="C106" s="1"/>
      <c r="D106" s="1"/>
      <c r="E106" s="1"/>
    </row>
    <row r="107" ht="15.75" customHeight="1">
      <c r="A107" s="1"/>
      <c r="B107" s="1"/>
      <c r="C107" s="1"/>
      <c r="D107" s="1"/>
      <c r="E107" s="1"/>
    </row>
    <row r="108" ht="15.75" customHeight="1">
      <c r="A108" s="1"/>
      <c r="B108" s="1"/>
      <c r="C108" s="1"/>
      <c r="D108" s="1"/>
      <c r="E108" s="1"/>
    </row>
    <row r="109" ht="15.75" customHeight="1">
      <c r="A109" s="1"/>
      <c r="B109" s="1"/>
      <c r="C109" s="1"/>
      <c r="D109" s="1"/>
      <c r="E109" s="1"/>
    </row>
    <row r="110" ht="15.75" customHeight="1">
      <c r="A110" s="1"/>
      <c r="B110" s="1"/>
      <c r="C110" s="1"/>
      <c r="D110" s="1"/>
      <c r="E110" s="1"/>
    </row>
    <row r="111" ht="15.75" customHeight="1">
      <c r="A111" s="1"/>
      <c r="B111" s="1"/>
      <c r="C111" s="1"/>
      <c r="D111" s="1"/>
      <c r="E111" s="1"/>
    </row>
    <row r="112" ht="15.75" customHeight="1">
      <c r="A112" s="1"/>
      <c r="B112" s="1"/>
      <c r="C112" s="1"/>
      <c r="D112" s="1"/>
      <c r="E112" s="1"/>
    </row>
    <row r="113" ht="15.75" customHeight="1">
      <c r="A113" s="1"/>
      <c r="B113" s="1"/>
      <c r="C113" s="1"/>
      <c r="D113" s="1"/>
      <c r="E113" s="1"/>
    </row>
    <row r="114" ht="15.75" customHeight="1">
      <c r="A114" s="1"/>
      <c r="B114" s="1"/>
      <c r="C114" s="1"/>
      <c r="D114" s="1"/>
      <c r="E114" s="1"/>
    </row>
    <row r="115" ht="15.75" customHeight="1">
      <c r="A115" s="1"/>
      <c r="B115" s="1"/>
      <c r="C115" s="1"/>
      <c r="D115" s="1"/>
      <c r="E115" s="1"/>
    </row>
    <row r="116" ht="15.75" customHeight="1">
      <c r="A116" s="1"/>
      <c r="B116" s="1"/>
      <c r="C116" s="1"/>
      <c r="D116" s="1"/>
      <c r="E116" s="1"/>
    </row>
    <row r="117" ht="15.75" customHeight="1">
      <c r="A117" s="1"/>
      <c r="B117" s="1"/>
      <c r="C117" s="1"/>
      <c r="D117" s="1"/>
      <c r="E117" s="1"/>
    </row>
    <row r="118" ht="15.75" customHeight="1">
      <c r="A118" s="1"/>
      <c r="B118" s="1"/>
      <c r="C118" s="1"/>
      <c r="D118" s="1"/>
      <c r="E118" s="1"/>
    </row>
    <row r="119" ht="15.75" customHeight="1">
      <c r="A119" s="1"/>
      <c r="B119" s="1"/>
      <c r="C119" s="1"/>
      <c r="D119" s="1"/>
      <c r="E119" s="1"/>
    </row>
    <row r="120" ht="15.75" customHeight="1">
      <c r="A120" s="1"/>
      <c r="B120" s="1"/>
      <c r="C120" s="1"/>
      <c r="D120" s="1"/>
      <c r="E120" s="1"/>
    </row>
    <row r="121" ht="15.75" customHeight="1">
      <c r="A121" s="1"/>
      <c r="B121" s="1"/>
      <c r="C121" s="1"/>
      <c r="D121" s="1"/>
      <c r="E121" s="1"/>
    </row>
    <row r="122" ht="15.75" customHeight="1">
      <c r="A122" s="1"/>
      <c r="B122" s="1"/>
      <c r="C122" s="1"/>
      <c r="D122" s="1"/>
      <c r="E122" s="1"/>
    </row>
    <row r="123" ht="15.75" customHeight="1">
      <c r="A123" s="1"/>
      <c r="B123" s="1"/>
      <c r="C123" s="1"/>
      <c r="D123" s="1"/>
      <c r="E123" s="1"/>
    </row>
    <row r="124" ht="15.75" customHeight="1">
      <c r="A124" s="1"/>
      <c r="B124" s="1"/>
      <c r="C124" s="1"/>
      <c r="D124" s="1"/>
      <c r="E124" s="1"/>
    </row>
    <row r="125" ht="15.75" customHeight="1">
      <c r="A125" s="1"/>
      <c r="B125" s="1"/>
      <c r="C125" s="1"/>
      <c r="D125" s="1"/>
      <c r="E125" s="1"/>
    </row>
    <row r="126" ht="15.75" customHeight="1">
      <c r="A126" s="1"/>
      <c r="B126" s="1"/>
      <c r="C126" s="1"/>
      <c r="D126" s="1"/>
      <c r="E126" s="1"/>
    </row>
    <row r="127" ht="15.75" customHeight="1">
      <c r="A127" s="1"/>
      <c r="B127" s="1"/>
      <c r="C127" s="1"/>
      <c r="D127" s="1"/>
      <c r="E127" s="1"/>
    </row>
    <row r="128" ht="15.75" customHeight="1">
      <c r="A128" s="1"/>
      <c r="B128" s="1"/>
      <c r="C128" s="1"/>
      <c r="D128" s="1"/>
      <c r="E128" s="1"/>
    </row>
    <row r="129" ht="15.75" customHeight="1">
      <c r="A129" s="1"/>
      <c r="B129" s="1"/>
      <c r="C129" s="1"/>
      <c r="D129" s="1"/>
      <c r="E129" s="1"/>
    </row>
    <row r="130" ht="15.75" customHeight="1">
      <c r="A130" s="1"/>
      <c r="B130" s="1"/>
      <c r="C130" s="1"/>
      <c r="D130" s="1"/>
      <c r="E130" s="1"/>
    </row>
    <row r="131" ht="15.75" customHeight="1">
      <c r="A131" s="1"/>
      <c r="B131" s="1"/>
      <c r="C131" s="1"/>
      <c r="D131" s="1"/>
      <c r="E131" s="1"/>
    </row>
    <row r="132" ht="15.75" customHeight="1">
      <c r="A132" s="1"/>
      <c r="B132" s="1"/>
      <c r="C132" s="1"/>
      <c r="D132" s="1"/>
      <c r="E132" s="1"/>
    </row>
    <row r="133" ht="15.75" customHeight="1">
      <c r="A133" s="1"/>
      <c r="B133" s="1"/>
      <c r="C133" s="1"/>
      <c r="D133" s="1"/>
      <c r="E133" s="1"/>
    </row>
    <row r="134" ht="15.75" customHeight="1">
      <c r="A134" s="1"/>
      <c r="B134" s="1"/>
      <c r="C134" s="1"/>
      <c r="D134" s="1"/>
      <c r="E134" s="1"/>
    </row>
    <row r="135" ht="15.75" customHeight="1">
      <c r="A135" s="1"/>
      <c r="B135" s="1"/>
      <c r="C135" s="1"/>
      <c r="D135" s="1"/>
      <c r="E135" s="1"/>
    </row>
    <row r="136" ht="15.75" customHeight="1">
      <c r="A136" s="1"/>
      <c r="B136" s="1"/>
      <c r="C136" s="1"/>
      <c r="D136" s="1"/>
      <c r="E136" s="1"/>
    </row>
    <row r="137" ht="15.75" customHeight="1">
      <c r="A137" s="1"/>
      <c r="B137" s="1"/>
      <c r="C137" s="1"/>
      <c r="D137" s="1"/>
      <c r="E137" s="1"/>
    </row>
    <row r="138" ht="15.75" customHeight="1">
      <c r="A138" s="1"/>
      <c r="B138" s="1"/>
      <c r="C138" s="1"/>
      <c r="D138" s="1"/>
      <c r="E138" s="1"/>
    </row>
    <row r="139" ht="15.75" customHeight="1">
      <c r="A139" s="1"/>
      <c r="B139" s="1"/>
      <c r="C139" s="1"/>
      <c r="D139" s="1"/>
      <c r="E139" s="1"/>
    </row>
    <row r="140" ht="15.75" customHeight="1">
      <c r="A140" s="1"/>
      <c r="B140" s="1"/>
      <c r="C140" s="1"/>
      <c r="D140" s="1"/>
      <c r="E140" s="1"/>
    </row>
    <row r="141" ht="15.75" customHeight="1">
      <c r="A141" s="1"/>
      <c r="B141" s="1"/>
      <c r="C141" s="1"/>
      <c r="D141" s="1"/>
      <c r="E141" s="1"/>
    </row>
    <row r="142" ht="15.75" customHeight="1">
      <c r="A142" s="1"/>
      <c r="B142" s="1"/>
      <c r="C142" s="1"/>
      <c r="D142" s="1"/>
      <c r="E142" s="1"/>
    </row>
    <row r="143" ht="15.75" customHeight="1">
      <c r="A143" s="1"/>
      <c r="B143" s="1"/>
      <c r="C143" s="1"/>
      <c r="D143" s="1"/>
      <c r="E143" s="1"/>
    </row>
    <row r="144" ht="15.75" customHeight="1">
      <c r="A144" s="1"/>
      <c r="B144" s="1"/>
      <c r="C144" s="1"/>
      <c r="D144" s="1"/>
      <c r="E144" s="1"/>
    </row>
    <row r="145" ht="15.75" customHeight="1">
      <c r="A145" s="1"/>
      <c r="B145" s="1"/>
      <c r="C145" s="1"/>
      <c r="D145" s="1"/>
      <c r="E145" s="1"/>
    </row>
    <row r="146" ht="15.75" customHeight="1">
      <c r="A146" s="1"/>
      <c r="B146" s="1"/>
      <c r="C146" s="1"/>
      <c r="D146" s="1"/>
      <c r="E146" s="1"/>
    </row>
    <row r="147" ht="15.75" customHeight="1">
      <c r="A147" s="1"/>
      <c r="B147" s="1"/>
      <c r="C147" s="1"/>
      <c r="D147" s="1"/>
      <c r="E147" s="1"/>
    </row>
    <row r="148" ht="15.75" customHeight="1">
      <c r="A148" s="1"/>
      <c r="B148" s="1"/>
      <c r="C148" s="1"/>
      <c r="D148" s="1"/>
      <c r="E148" s="1"/>
    </row>
    <row r="149" ht="15.75" customHeight="1">
      <c r="A149" s="1"/>
      <c r="B149" s="1"/>
      <c r="C149" s="1"/>
      <c r="D149" s="1"/>
      <c r="E149" s="1"/>
    </row>
    <row r="150" ht="15.75" customHeight="1">
      <c r="A150" s="1"/>
      <c r="B150" s="1"/>
      <c r="C150" s="1"/>
      <c r="D150" s="1"/>
      <c r="E150" s="1"/>
    </row>
    <row r="151" ht="15.75" customHeight="1">
      <c r="A151" s="1"/>
      <c r="B151" s="1"/>
      <c r="C151" s="1"/>
      <c r="D151" s="1"/>
      <c r="E151" s="1"/>
    </row>
    <row r="152" ht="15.75" customHeight="1">
      <c r="A152" s="1"/>
      <c r="B152" s="1"/>
      <c r="C152" s="1"/>
      <c r="D152" s="1"/>
      <c r="E152" s="1"/>
    </row>
    <row r="153" ht="15.75" customHeight="1">
      <c r="A153" s="1"/>
      <c r="B153" s="1"/>
      <c r="C153" s="1"/>
      <c r="D153" s="1"/>
      <c r="E153" s="1"/>
    </row>
    <row r="154" ht="15.75" customHeight="1">
      <c r="A154" s="1"/>
      <c r="B154" s="1"/>
      <c r="C154" s="1"/>
      <c r="D154" s="1"/>
      <c r="E154" s="1"/>
    </row>
    <row r="155" ht="15.75" customHeight="1">
      <c r="A155" s="1"/>
      <c r="B155" s="1"/>
      <c r="C155" s="1"/>
      <c r="D155" s="1"/>
      <c r="E155" s="1"/>
    </row>
    <row r="156" ht="15.75" customHeight="1">
      <c r="A156" s="1"/>
      <c r="B156" s="1"/>
      <c r="C156" s="1"/>
      <c r="D156" s="1"/>
      <c r="E156" s="1"/>
    </row>
    <row r="157" ht="15.75" customHeight="1">
      <c r="A157" s="1"/>
      <c r="B157" s="1"/>
      <c r="C157" s="1"/>
      <c r="D157" s="1"/>
      <c r="E157" s="1"/>
    </row>
    <row r="158" ht="15.75" customHeight="1">
      <c r="A158" s="1"/>
      <c r="B158" s="1"/>
      <c r="C158" s="1"/>
      <c r="D158" s="1"/>
      <c r="E158" s="1"/>
    </row>
    <row r="159" ht="15.75" customHeight="1">
      <c r="A159" s="1"/>
      <c r="B159" s="1"/>
      <c r="C159" s="1"/>
      <c r="D159" s="1"/>
      <c r="E159" s="1"/>
    </row>
    <row r="160" ht="15.75" customHeight="1">
      <c r="A160" s="1"/>
      <c r="B160" s="1"/>
      <c r="C160" s="1"/>
      <c r="D160" s="1"/>
      <c r="E160" s="1"/>
    </row>
    <row r="161" ht="15.75" customHeight="1">
      <c r="A161" s="1"/>
      <c r="B161" s="1"/>
      <c r="C161" s="1"/>
      <c r="D161" s="1"/>
      <c r="E161" s="1"/>
    </row>
    <row r="162" ht="15.75" customHeight="1">
      <c r="A162" s="1"/>
      <c r="B162" s="1"/>
      <c r="C162" s="1"/>
      <c r="D162" s="1"/>
      <c r="E162" s="1"/>
    </row>
    <row r="163" ht="15.75" customHeight="1">
      <c r="A163" s="1"/>
      <c r="B163" s="1"/>
      <c r="C163" s="1"/>
      <c r="D163" s="1"/>
      <c r="E163" s="1"/>
    </row>
    <row r="164" ht="15.75" customHeight="1">
      <c r="A164" s="1"/>
      <c r="B164" s="1"/>
      <c r="C164" s="1"/>
      <c r="D164" s="1"/>
      <c r="E164" s="1"/>
    </row>
    <row r="165" ht="15.75" customHeight="1">
      <c r="A165" s="1"/>
      <c r="B165" s="1"/>
      <c r="C165" s="1"/>
      <c r="D165" s="1"/>
      <c r="E165" s="1"/>
    </row>
    <row r="166" ht="15.75" customHeight="1">
      <c r="A166" s="1"/>
      <c r="B166" s="1"/>
      <c r="C166" s="1"/>
      <c r="D166" s="1"/>
      <c r="E166" s="1"/>
    </row>
    <row r="167" ht="15.75" customHeight="1">
      <c r="A167" s="1"/>
      <c r="B167" s="1"/>
      <c r="C167" s="1"/>
      <c r="D167" s="1"/>
      <c r="E167" s="1"/>
    </row>
    <row r="168" ht="15.75" customHeight="1">
      <c r="A168" s="1"/>
      <c r="B168" s="1"/>
      <c r="C168" s="1"/>
      <c r="D168" s="1"/>
      <c r="E168" s="1"/>
    </row>
    <row r="169" ht="15.75" customHeight="1">
      <c r="A169" s="1"/>
      <c r="B169" s="1"/>
      <c r="C169" s="1"/>
      <c r="D169" s="1"/>
      <c r="E169" s="1"/>
    </row>
    <row r="170" ht="15.75" customHeight="1">
      <c r="A170" s="1"/>
      <c r="B170" s="1"/>
      <c r="C170" s="1"/>
      <c r="D170" s="1"/>
      <c r="E170" s="1"/>
    </row>
    <row r="171" ht="15.75" customHeight="1">
      <c r="A171" s="1"/>
      <c r="B171" s="1"/>
      <c r="C171" s="1"/>
      <c r="D171" s="1"/>
      <c r="E171" s="1"/>
    </row>
    <row r="172" ht="15.75" customHeight="1">
      <c r="A172" s="1"/>
      <c r="B172" s="1"/>
      <c r="C172" s="1"/>
      <c r="D172" s="1"/>
      <c r="E172" s="1"/>
    </row>
    <row r="173" ht="15.75" customHeight="1">
      <c r="A173" s="1"/>
      <c r="B173" s="1"/>
      <c r="C173" s="1"/>
      <c r="D173" s="1"/>
      <c r="E173" s="1"/>
    </row>
    <row r="174" ht="15.75" customHeight="1">
      <c r="A174" s="1"/>
      <c r="B174" s="1"/>
      <c r="C174" s="1"/>
      <c r="D174" s="1"/>
      <c r="E174" s="1"/>
    </row>
    <row r="175" ht="15.75" customHeight="1">
      <c r="A175" s="1"/>
      <c r="B175" s="1"/>
      <c r="C175" s="1"/>
      <c r="D175" s="1"/>
      <c r="E175" s="1"/>
    </row>
    <row r="176" ht="15.75" customHeight="1">
      <c r="A176" s="1"/>
      <c r="B176" s="1"/>
      <c r="C176" s="1"/>
      <c r="D176" s="1"/>
      <c r="E176" s="1"/>
    </row>
    <row r="177" ht="15.75" customHeight="1">
      <c r="A177" s="1"/>
      <c r="B177" s="1"/>
      <c r="C177" s="1"/>
      <c r="D177" s="1"/>
      <c r="E177" s="1"/>
    </row>
    <row r="178" ht="15.75" customHeight="1">
      <c r="A178" s="1"/>
      <c r="B178" s="1"/>
      <c r="C178" s="1"/>
      <c r="D178" s="1"/>
      <c r="E178" s="1"/>
    </row>
    <row r="179" ht="15.75" customHeight="1">
      <c r="A179" s="1"/>
      <c r="B179" s="1"/>
      <c r="C179" s="1"/>
      <c r="D179" s="1"/>
      <c r="E179" s="1"/>
    </row>
    <row r="180" ht="15.75" customHeight="1">
      <c r="A180" s="1"/>
      <c r="B180" s="1"/>
      <c r="C180" s="1"/>
      <c r="D180" s="1"/>
      <c r="E180" s="1"/>
    </row>
    <row r="181" ht="15.75" customHeight="1">
      <c r="A181" s="1"/>
      <c r="B181" s="1"/>
      <c r="C181" s="1"/>
      <c r="D181" s="1"/>
      <c r="E181" s="1"/>
    </row>
    <row r="182" ht="15.75" customHeight="1">
      <c r="A182" s="1"/>
      <c r="B182" s="1"/>
      <c r="C182" s="1"/>
      <c r="D182" s="1"/>
      <c r="E182" s="1"/>
    </row>
    <row r="183" ht="15.75" customHeight="1">
      <c r="A183" s="1"/>
      <c r="B183" s="1"/>
      <c r="C183" s="1"/>
      <c r="D183" s="1"/>
      <c r="E183" s="1"/>
    </row>
    <row r="184" ht="15.75" customHeight="1">
      <c r="A184" s="1"/>
      <c r="B184" s="1"/>
      <c r="C184" s="1"/>
      <c r="D184" s="1"/>
      <c r="E184" s="1"/>
    </row>
    <row r="185" ht="15.75" customHeight="1">
      <c r="A185" s="1"/>
      <c r="B185" s="1"/>
      <c r="C185" s="1"/>
      <c r="D185" s="1"/>
      <c r="E185" s="1"/>
    </row>
    <row r="186" ht="15.75" customHeight="1">
      <c r="A186" s="1"/>
      <c r="B186" s="1"/>
      <c r="C186" s="1"/>
      <c r="D186" s="1"/>
      <c r="E186" s="1"/>
    </row>
    <row r="187" ht="15.75" customHeight="1">
      <c r="A187" s="1"/>
      <c r="B187" s="1"/>
      <c r="C187" s="1"/>
      <c r="D187" s="1"/>
      <c r="E187" s="1"/>
    </row>
    <row r="188" ht="15.75" customHeight="1">
      <c r="A188" s="1"/>
      <c r="B188" s="1"/>
      <c r="C188" s="1"/>
      <c r="D188" s="1"/>
      <c r="E188" s="1"/>
    </row>
    <row r="189" ht="15.75" customHeight="1">
      <c r="A189" s="1"/>
      <c r="B189" s="1"/>
      <c r="C189" s="1"/>
      <c r="D189" s="1"/>
      <c r="E189" s="1"/>
    </row>
    <row r="190" ht="15.75" customHeight="1">
      <c r="A190" s="1"/>
      <c r="B190" s="1"/>
      <c r="C190" s="1"/>
      <c r="D190" s="1"/>
      <c r="E190" s="1"/>
    </row>
    <row r="191" ht="15.75" customHeight="1">
      <c r="A191" s="1"/>
      <c r="B191" s="1"/>
      <c r="C191" s="1"/>
      <c r="D191" s="1"/>
      <c r="E191" s="1"/>
    </row>
    <row r="192" ht="15.75" customHeight="1">
      <c r="A192" s="1"/>
      <c r="B192" s="1"/>
      <c r="C192" s="1"/>
      <c r="D192" s="1"/>
      <c r="E192" s="1"/>
    </row>
    <row r="193" ht="15.75" customHeight="1">
      <c r="A193" s="1"/>
      <c r="B193" s="1"/>
      <c r="C193" s="1"/>
      <c r="D193" s="1"/>
      <c r="E193" s="1"/>
    </row>
    <row r="194" ht="15.75" customHeight="1">
      <c r="A194" s="1"/>
      <c r="B194" s="1"/>
      <c r="C194" s="1"/>
      <c r="D194" s="1"/>
      <c r="E194" s="1"/>
    </row>
    <row r="195" ht="15.75" customHeight="1">
      <c r="A195" s="1"/>
      <c r="B195" s="1"/>
      <c r="C195" s="1"/>
      <c r="D195" s="1"/>
      <c r="E195" s="1"/>
    </row>
    <row r="196" ht="15.75" customHeight="1">
      <c r="A196" s="1"/>
      <c r="B196" s="1"/>
      <c r="C196" s="1"/>
      <c r="D196" s="1"/>
      <c r="E196" s="1"/>
    </row>
    <row r="197" ht="15.75" customHeight="1">
      <c r="A197" s="1"/>
      <c r="B197" s="1"/>
      <c r="C197" s="1"/>
      <c r="D197" s="1"/>
      <c r="E197" s="1"/>
    </row>
    <row r="198" ht="15.75" customHeight="1">
      <c r="A198" s="1"/>
      <c r="B198" s="1"/>
      <c r="C198" s="1"/>
      <c r="D198" s="1"/>
      <c r="E198" s="1"/>
    </row>
    <row r="199" ht="15.75" customHeight="1">
      <c r="A199" s="1"/>
      <c r="B199" s="1"/>
      <c r="C199" s="1"/>
      <c r="D199" s="1"/>
      <c r="E199" s="1"/>
    </row>
    <row r="200" ht="15.75" customHeight="1">
      <c r="A200" s="1"/>
      <c r="B200" s="1"/>
      <c r="C200" s="1"/>
      <c r="D200" s="1"/>
      <c r="E200" s="1"/>
    </row>
    <row r="201" ht="15.75" customHeight="1">
      <c r="A201" s="1"/>
      <c r="B201" s="1"/>
      <c r="C201" s="1"/>
      <c r="D201" s="1"/>
      <c r="E201" s="1"/>
    </row>
    <row r="202" ht="15.75" customHeight="1">
      <c r="A202" s="1"/>
      <c r="B202" s="1"/>
      <c r="C202" s="1"/>
      <c r="D202" s="1"/>
      <c r="E202" s="1"/>
    </row>
    <row r="203" ht="15.75" customHeight="1">
      <c r="A203" s="1"/>
      <c r="B203" s="1"/>
      <c r="C203" s="1"/>
      <c r="D203" s="1"/>
      <c r="E203" s="1"/>
    </row>
    <row r="204" ht="15.75" customHeight="1">
      <c r="A204" s="1"/>
      <c r="B204" s="1"/>
      <c r="C204" s="1"/>
      <c r="D204" s="1"/>
      <c r="E204" s="1"/>
    </row>
    <row r="205" ht="15.75" customHeight="1">
      <c r="A205" s="1"/>
      <c r="B205" s="1"/>
      <c r="C205" s="1"/>
      <c r="D205" s="1"/>
      <c r="E205" s="1"/>
    </row>
    <row r="206" ht="15.75" customHeight="1">
      <c r="A206" s="1"/>
      <c r="B206" s="1"/>
      <c r="C206" s="1"/>
      <c r="D206" s="1"/>
      <c r="E206" s="1"/>
    </row>
    <row r="207" ht="15.75" customHeight="1">
      <c r="A207" s="1"/>
      <c r="B207" s="1"/>
      <c r="C207" s="1"/>
      <c r="D207" s="1"/>
      <c r="E207" s="1"/>
    </row>
    <row r="208" ht="15.75" customHeight="1">
      <c r="A208" s="1"/>
      <c r="B208" s="1"/>
      <c r="C208" s="1"/>
      <c r="D208" s="1"/>
      <c r="E208" s="1"/>
    </row>
    <row r="209" ht="15.75" customHeight="1">
      <c r="A209" s="1"/>
      <c r="B209" s="1"/>
      <c r="C209" s="1"/>
      <c r="D209" s="1"/>
      <c r="E209" s="1"/>
    </row>
    <row r="210" ht="15.75" customHeight="1">
      <c r="A210" s="1"/>
      <c r="B210" s="1"/>
      <c r="C210" s="1"/>
      <c r="D210" s="1"/>
      <c r="E210" s="1"/>
    </row>
    <row r="211" ht="15.75" customHeight="1">
      <c r="A211" s="1"/>
      <c r="B211" s="1"/>
      <c r="C211" s="1"/>
      <c r="D211" s="1"/>
      <c r="E211" s="1"/>
    </row>
    <row r="212" ht="15.75" customHeight="1">
      <c r="A212" s="1"/>
      <c r="B212" s="1"/>
      <c r="C212" s="1"/>
      <c r="D212" s="1"/>
      <c r="E212" s="1"/>
    </row>
    <row r="213" ht="15.75" customHeight="1">
      <c r="A213" s="1"/>
      <c r="B213" s="1"/>
      <c r="C213" s="1"/>
      <c r="D213" s="1"/>
      <c r="E213" s="1"/>
    </row>
    <row r="214" ht="15.75" customHeight="1">
      <c r="A214" s="1"/>
      <c r="B214" s="1"/>
      <c r="C214" s="1"/>
      <c r="D214" s="1"/>
      <c r="E214" s="1"/>
    </row>
    <row r="215" ht="15.75" customHeight="1">
      <c r="A215" s="1"/>
      <c r="B215" s="1"/>
      <c r="C215" s="1"/>
      <c r="D215" s="1"/>
      <c r="E215" s="1"/>
    </row>
    <row r="216" ht="15.75" customHeight="1">
      <c r="A216" s="1"/>
      <c r="B216" s="1"/>
      <c r="C216" s="1"/>
      <c r="D216" s="1"/>
      <c r="E216" s="1"/>
    </row>
    <row r="217" ht="15.75" customHeight="1">
      <c r="A217" s="1"/>
      <c r="B217" s="1"/>
      <c r="C217" s="1"/>
      <c r="D217" s="1"/>
      <c r="E217" s="1"/>
    </row>
    <row r="218" ht="15.75" customHeight="1">
      <c r="A218" s="1"/>
      <c r="B218" s="1"/>
      <c r="C218" s="1"/>
      <c r="D218" s="1"/>
      <c r="E218" s="1"/>
    </row>
    <row r="219" ht="15.75" customHeight="1">
      <c r="A219" s="1"/>
      <c r="B219" s="1"/>
      <c r="C219" s="1"/>
      <c r="D219" s="1"/>
      <c r="E219" s="1"/>
    </row>
    <row r="220" ht="15.75" customHeight="1">
      <c r="A220" s="1"/>
      <c r="B220" s="1"/>
      <c r="C220" s="1"/>
      <c r="D220" s="1"/>
      <c r="E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1:C1"/>
    <mergeCell ref="B3:C3"/>
    <mergeCell ref="B8:C8"/>
    <mergeCell ref="B14:C14"/>
    <mergeCell ref="B19:C20"/>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6B26B"/>
    <pageSetUpPr/>
  </sheetPr>
  <sheetViews>
    <sheetView showGridLines="0" workbookViewId="0"/>
  </sheetViews>
  <sheetFormatPr customHeight="1" defaultColWidth="14.43" defaultRowHeight="15.0"/>
  <cols>
    <col customWidth="1" min="1" max="1" width="3.0"/>
    <col customWidth="1" min="2" max="2" width="62.57"/>
    <col customWidth="1" min="3" max="3" width="18.0"/>
    <col customWidth="1" min="4" max="4" width="3.0"/>
    <col customWidth="1" min="5" max="5" width="35.57"/>
    <col customWidth="1" min="6" max="6" width="37.86"/>
    <col customWidth="1" min="8" max="26" width="16.86"/>
  </cols>
  <sheetData>
    <row r="1" ht="19.5" customHeight="1">
      <c r="A1" s="1"/>
      <c r="B1" s="3" t="s">
        <v>219</v>
      </c>
      <c r="G1" s="1"/>
      <c r="H1" s="1"/>
      <c r="I1" s="1"/>
      <c r="J1" s="1"/>
      <c r="K1" s="1"/>
      <c r="L1" s="1"/>
      <c r="M1" s="1"/>
      <c r="N1" s="1"/>
      <c r="O1" s="1"/>
      <c r="P1" s="1"/>
      <c r="Q1" s="1"/>
      <c r="R1" s="1"/>
      <c r="S1" s="1"/>
      <c r="T1" s="1"/>
      <c r="U1" s="1"/>
      <c r="V1" s="1"/>
      <c r="W1" s="1"/>
      <c r="X1" s="1"/>
      <c r="Y1" s="1"/>
      <c r="Z1" s="1"/>
    </row>
    <row r="2" ht="15.0" customHeight="1">
      <c r="A2" s="1"/>
      <c r="B2" s="1"/>
      <c r="C2" s="1"/>
      <c r="D2" s="1"/>
      <c r="E2" s="1"/>
      <c r="F2" s="1"/>
      <c r="G2" s="1"/>
      <c r="H2" s="1"/>
      <c r="I2" s="1"/>
      <c r="J2" s="1"/>
      <c r="K2" s="1"/>
      <c r="L2" s="1"/>
      <c r="M2" s="1"/>
      <c r="N2" s="1"/>
      <c r="O2" s="1"/>
      <c r="P2" s="1"/>
      <c r="Q2" s="1"/>
      <c r="R2" s="1"/>
      <c r="S2" s="1"/>
      <c r="T2" s="1"/>
      <c r="U2" s="1"/>
      <c r="V2" s="1"/>
      <c r="W2" s="1"/>
      <c r="X2" s="1"/>
      <c r="Y2" s="1"/>
      <c r="Z2" s="1"/>
    </row>
    <row r="3" ht="15.0" customHeight="1">
      <c r="A3" s="1"/>
      <c r="B3" s="5" t="s">
        <v>220</v>
      </c>
      <c r="D3" s="1"/>
      <c r="E3" s="5" t="s">
        <v>221</v>
      </c>
      <c r="G3" s="1"/>
      <c r="H3" s="1"/>
      <c r="I3" s="1"/>
      <c r="J3" s="1"/>
      <c r="K3" s="1"/>
      <c r="L3" s="1"/>
      <c r="M3" s="1"/>
      <c r="N3" s="1"/>
      <c r="O3" s="1"/>
      <c r="P3" s="1"/>
      <c r="Q3" s="1"/>
      <c r="R3" s="1"/>
      <c r="S3" s="1"/>
      <c r="T3" s="1"/>
      <c r="U3" s="1"/>
      <c r="V3" s="1"/>
      <c r="W3" s="1"/>
      <c r="X3" s="1"/>
      <c r="Y3" s="1"/>
      <c r="Z3" s="1"/>
    </row>
    <row r="4" ht="15.0" customHeight="1">
      <c r="A4" s="1"/>
      <c r="B4" s="13" t="s">
        <v>222</v>
      </c>
      <c r="C4" s="152">
        <f>'Budget Input'!I5*12</f>
        <v>84000</v>
      </c>
      <c r="D4" s="1"/>
      <c r="E4" s="13" t="s">
        <v>223</v>
      </c>
      <c r="F4" s="153"/>
      <c r="G4" s="1"/>
      <c r="H4" s="1"/>
      <c r="I4" s="1"/>
      <c r="J4" s="1"/>
      <c r="K4" s="1"/>
      <c r="L4" s="1"/>
      <c r="M4" s="1"/>
      <c r="N4" s="1"/>
      <c r="O4" s="1"/>
      <c r="P4" s="1"/>
      <c r="Q4" s="1"/>
      <c r="R4" s="1"/>
      <c r="S4" s="1"/>
      <c r="T4" s="1"/>
      <c r="U4" s="1"/>
      <c r="V4" s="1"/>
      <c r="W4" s="1"/>
      <c r="X4" s="1"/>
      <c r="Y4" s="1"/>
      <c r="Z4" s="1"/>
    </row>
    <row r="5" ht="15.0" customHeight="1">
      <c r="A5" s="1"/>
      <c r="B5" s="13" t="s">
        <v>224</v>
      </c>
      <c r="C5" s="116">
        <f>'Debt Payoff'!M5</f>
        <v>350</v>
      </c>
      <c r="D5" s="1"/>
      <c r="E5" s="13" t="s">
        <v>225</v>
      </c>
      <c r="F5" s="116">
        <f>MAX(0,F4-C6)</f>
        <v>0</v>
      </c>
      <c r="G5" s="1"/>
      <c r="H5" s="1"/>
      <c r="I5" s="1"/>
      <c r="J5" s="1"/>
      <c r="K5" s="1"/>
      <c r="L5" s="1"/>
      <c r="M5" s="1"/>
      <c r="N5" s="1"/>
      <c r="O5" s="1"/>
      <c r="P5" s="1"/>
      <c r="Q5" s="1"/>
      <c r="R5" s="1"/>
      <c r="S5" s="1"/>
      <c r="T5" s="1"/>
      <c r="U5" s="1"/>
      <c r="V5" s="1"/>
      <c r="W5" s="1"/>
      <c r="X5" s="1"/>
      <c r="Y5" s="1"/>
      <c r="Z5" s="1"/>
    </row>
    <row r="6" ht="15.0" customHeight="1">
      <c r="A6" s="1"/>
      <c r="B6" s="13" t="s">
        <v>228</v>
      </c>
      <c r="C6" s="153"/>
      <c r="D6" s="1"/>
      <c r="E6" s="13" t="s">
        <v>230</v>
      </c>
      <c r="F6" s="116">
        <f>IF(F5&lt;=0,0,IF(C11=0,F5/(C12*12),F5*(C11/12)/(1-(1+C11/12)^(-C12*12))))</f>
        <v>0</v>
      </c>
      <c r="G6" s="1"/>
      <c r="H6" s="1"/>
      <c r="I6" s="1"/>
      <c r="J6" s="1"/>
      <c r="K6" s="1"/>
      <c r="L6" s="1"/>
      <c r="M6" s="1"/>
      <c r="N6" s="1"/>
      <c r="O6" s="1"/>
      <c r="P6" s="1"/>
      <c r="Q6" s="1"/>
      <c r="R6" s="1"/>
      <c r="S6" s="1"/>
      <c r="T6" s="1"/>
      <c r="U6" s="1"/>
      <c r="V6" s="1"/>
      <c r="W6" s="1"/>
      <c r="X6" s="1"/>
      <c r="Y6" s="1"/>
      <c r="Z6" s="1"/>
    </row>
    <row r="7" ht="15.0" customHeight="1">
      <c r="A7" s="1"/>
      <c r="B7" s="13" t="s">
        <v>244</v>
      </c>
      <c r="C7" s="133">
        <v>0.28</v>
      </c>
      <c r="D7" s="1"/>
      <c r="E7" s="13" t="s">
        <v>246</v>
      </c>
      <c r="F7" s="116">
        <f>F4*C13/12</f>
        <v>0</v>
      </c>
      <c r="G7" s="1"/>
      <c r="H7" s="1"/>
      <c r="I7" s="1"/>
      <c r="J7" s="1"/>
      <c r="K7" s="1"/>
      <c r="L7" s="1"/>
      <c r="M7" s="1"/>
      <c r="N7" s="1"/>
      <c r="O7" s="1"/>
      <c r="P7" s="1"/>
      <c r="Q7" s="1"/>
      <c r="R7" s="1"/>
      <c r="S7" s="1"/>
      <c r="T7" s="1"/>
      <c r="U7" s="1"/>
      <c r="V7" s="1"/>
      <c r="W7" s="1"/>
      <c r="X7" s="1"/>
      <c r="Y7" s="1"/>
      <c r="Z7" s="1"/>
    </row>
    <row r="8" ht="15.0" customHeight="1">
      <c r="A8" s="1"/>
      <c r="B8" s="13" t="s">
        <v>253</v>
      </c>
      <c r="C8" s="133">
        <v>0.36</v>
      </c>
      <c r="D8" s="1"/>
      <c r="E8" s="13" t="s">
        <v>256</v>
      </c>
      <c r="F8" s="116">
        <f>C14/12</f>
        <v>125</v>
      </c>
      <c r="G8" s="1"/>
      <c r="H8" s="1"/>
      <c r="I8" s="1"/>
      <c r="J8" s="1"/>
      <c r="K8" s="1"/>
      <c r="L8" s="1"/>
      <c r="M8" s="1"/>
      <c r="N8" s="1"/>
      <c r="O8" s="1"/>
      <c r="P8" s="1"/>
      <c r="Q8" s="1"/>
      <c r="R8" s="1"/>
      <c r="S8" s="1"/>
      <c r="T8" s="1"/>
      <c r="U8" s="1"/>
      <c r="V8" s="1"/>
      <c r="W8" s="1"/>
      <c r="X8" s="1"/>
      <c r="Y8" s="1"/>
      <c r="Z8" s="1"/>
    </row>
    <row r="9" ht="15.0" customHeight="1">
      <c r="A9" s="1"/>
      <c r="B9" s="1"/>
      <c r="C9" s="1"/>
      <c r="D9" s="1"/>
      <c r="E9" s="13" t="s">
        <v>265</v>
      </c>
      <c r="F9" s="116">
        <f>C15</f>
        <v>0</v>
      </c>
      <c r="G9" s="1"/>
      <c r="H9" s="1"/>
      <c r="I9" s="1"/>
      <c r="J9" s="1"/>
      <c r="K9" s="1"/>
      <c r="L9" s="1"/>
      <c r="M9" s="1"/>
      <c r="N9" s="1"/>
      <c r="O9" s="1"/>
      <c r="P9" s="1"/>
      <c r="Q9" s="1"/>
      <c r="R9" s="1"/>
      <c r="S9" s="1"/>
      <c r="T9" s="1"/>
      <c r="U9" s="1"/>
      <c r="V9" s="1"/>
      <c r="W9" s="1"/>
      <c r="X9" s="1"/>
      <c r="Y9" s="1"/>
      <c r="Z9" s="1"/>
    </row>
    <row r="10" ht="15.0" customHeight="1">
      <c r="A10" s="1"/>
      <c r="B10" s="5" t="s">
        <v>266</v>
      </c>
      <c r="D10" s="1"/>
      <c r="E10" s="104" t="s">
        <v>267</v>
      </c>
      <c r="F10" s="143">
        <f>SUM(F6:F9)</f>
        <v>125</v>
      </c>
      <c r="G10" s="1"/>
      <c r="H10" s="1"/>
      <c r="I10" s="1"/>
      <c r="J10" s="1"/>
      <c r="K10" s="1"/>
      <c r="L10" s="1"/>
      <c r="M10" s="1"/>
      <c r="N10" s="1"/>
      <c r="O10" s="1"/>
      <c r="P10" s="1"/>
      <c r="Q10" s="1"/>
      <c r="R10" s="1"/>
      <c r="S10" s="1"/>
      <c r="T10" s="1"/>
      <c r="U10" s="1"/>
      <c r="V10" s="1"/>
      <c r="W10" s="1"/>
      <c r="X10" s="1"/>
      <c r="Y10" s="1"/>
      <c r="Z10" s="1"/>
    </row>
    <row r="11" ht="15.0" customHeight="1">
      <c r="A11" s="1"/>
      <c r="B11" s="13" t="s">
        <v>175</v>
      </c>
      <c r="C11" s="133">
        <v>0.065</v>
      </c>
      <c r="D11" s="1"/>
      <c r="E11" s="13" t="s">
        <v>268</v>
      </c>
      <c r="F11" s="117">
        <f>IFERROR(F10/(C4/12),0)</f>
        <v>0.01785714286</v>
      </c>
      <c r="G11" s="1"/>
      <c r="H11" s="1"/>
      <c r="I11" s="1"/>
      <c r="J11" s="1"/>
      <c r="K11" s="1"/>
      <c r="L11" s="1"/>
      <c r="M11" s="1"/>
      <c r="N11" s="1"/>
      <c r="O11" s="1"/>
      <c r="P11" s="1"/>
      <c r="Q11" s="1"/>
      <c r="R11" s="1"/>
      <c r="S11" s="1"/>
      <c r="T11" s="1"/>
      <c r="U11" s="1"/>
      <c r="V11" s="1"/>
      <c r="W11" s="1"/>
      <c r="X11" s="1"/>
      <c r="Y11" s="1"/>
      <c r="Z11" s="1"/>
    </row>
    <row r="12" ht="15.0" customHeight="1">
      <c r="A12" s="1"/>
      <c r="B12" s="13" t="s">
        <v>269</v>
      </c>
      <c r="C12" s="146">
        <v>30.0</v>
      </c>
      <c r="D12" s="1"/>
      <c r="E12" s="13" t="s">
        <v>270</v>
      </c>
      <c r="F12" s="117">
        <f>IFERROR((F10+C5)/(C4/12),0)</f>
        <v>0.06785714286</v>
      </c>
      <c r="G12" s="1"/>
      <c r="H12" s="1"/>
      <c r="I12" s="1"/>
      <c r="J12" s="1"/>
      <c r="K12" s="1"/>
      <c r="L12" s="1"/>
      <c r="M12" s="1"/>
      <c r="N12" s="1"/>
      <c r="O12" s="1"/>
      <c r="P12" s="1"/>
      <c r="Q12" s="1"/>
      <c r="R12" s="1"/>
      <c r="S12" s="1"/>
      <c r="T12" s="1"/>
      <c r="U12" s="1"/>
      <c r="V12" s="1"/>
      <c r="W12" s="1"/>
      <c r="X12" s="1"/>
      <c r="Y12" s="1"/>
      <c r="Z12" s="1"/>
    </row>
    <row r="13" ht="15.0" customHeight="1">
      <c r="A13" s="1"/>
      <c r="B13" s="13" t="s">
        <v>271</v>
      </c>
      <c r="C13" s="133">
        <v>0.011</v>
      </c>
      <c r="D13" s="1"/>
      <c r="E13" s="104" t="s">
        <v>272</v>
      </c>
      <c r="F13" s="166" t="str">
        <f>IF(OR(F4="",F4=0),"Enter a home price above",IF(AND(F11&lt;=C7,F12&lt;=C8),"Within your guidelines","Above your target guidelines"))</f>
        <v>Enter a home price above</v>
      </c>
      <c r="G13" s="1"/>
      <c r="H13" s="1"/>
      <c r="I13" s="1"/>
      <c r="J13" s="1"/>
      <c r="K13" s="1"/>
      <c r="L13" s="1"/>
      <c r="M13" s="1"/>
      <c r="N13" s="1"/>
      <c r="O13" s="1"/>
      <c r="P13" s="1"/>
      <c r="Q13" s="1"/>
      <c r="R13" s="1"/>
      <c r="S13" s="1"/>
      <c r="T13" s="1"/>
      <c r="U13" s="1"/>
      <c r="V13" s="1"/>
      <c r="W13" s="1"/>
      <c r="X13" s="1"/>
      <c r="Y13" s="1"/>
      <c r="Z13" s="1"/>
    </row>
    <row r="14" ht="15.0" customHeight="1">
      <c r="A14" s="1"/>
      <c r="B14" s="13" t="s">
        <v>273</v>
      </c>
      <c r="C14" s="153">
        <v>1500.0</v>
      </c>
      <c r="D14" s="1"/>
      <c r="E14" s="1"/>
      <c r="F14" s="1"/>
      <c r="G14" s="1"/>
      <c r="H14" s="1"/>
      <c r="I14" s="1"/>
      <c r="J14" s="1"/>
      <c r="K14" s="1"/>
      <c r="L14" s="1"/>
      <c r="M14" s="1"/>
      <c r="N14" s="1"/>
      <c r="O14" s="1"/>
      <c r="P14" s="1"/>
      <c r="Q14" s="1"/>
      <c r="R14" s="1"/>
      <c r="S14" s="1"/>
      <c r="T14" s="1"/>
      <c r="U14" s="1"/>
      <c r="V14" s="1"/>
      <c r="W14" s="1"/>
      <c r="X14" s="1"/>
      <c r="Y14" s="1"/>
      <c r="Z14" s="1"/>
    </row>
    <row r="15" ht="15.0" customHeight="1">
      <c r="A15" s="1"/>
      <c r="B15" s="13" t="s">
        <v>265</v>
      </c>
      <c r="C15" s="77">
        <v>0.0</v>
      </c>
      <c r="D15" s="1"/>
      <c r="E15" s="144" t="s">
        <v>274</v>
      </c>
      <c r="F15" s="45"/>
      <c r="G15" s="1"/>
      <c r="H15" s="1"/>
      <c r="I15" s="1"/>
      <c r="J15" s="1"/>
      <c r="K15" s="1"/>
      <c r="L15" s="1"/>
      <c r="M15" s="1"/>
      <c r="N15" s="1"/>
      <c r="O15" s="1"/>
      <c r="P15" s="1"/>
      <c r="Q15" s="1"/>
      <c r="R15" s="1"/>
      <c r="S15" s="1"/>
      <c r="T15" s="1"/>
      <c r="U15" s="1"/>
      <c r="V15" s="1"/>
      <c r="W15" s="1"/>
      <c r="X15" s="1"/>
      <c r="Y15" s="1"/>
      <c r="Z15" s="1"/>
    </row>
    <row r="16" ht="18.0" customHeight="1">
      <c r="A16" s="1"/>
      <c r="B16" s="1"/>
      <c r="C16" s="1"/>
      <c r="D16" s="1"/>
      <c r="E16" s="167"/>
      <c r="F16" s="168"/>
      <c r="G16" s="1"/>
      <c r="H16" s="1"/>
      <c r="I16" s="1"/>
      <c r="J16" s="1"/>
      <c r="K16" s="1"/>
      <c r="L16" s="1"/>
      <c r="M16" s="1"/>
      <c r="N16" s="1"/>
      <c r="O16" s="1"/>
      <c r="P16" s="1"/>
      <c r="Q16" s="1"/>
      <c r="R16" s="1"/>
      <c r="S16" s="1"/>
      <c r="T16" s="1"/>
      <c r="U16" s="1"/>
      <c r="V16" s="1"/>
      <c r="W16" s="1"/>
      <c r="X16" s="1"/>
      <c r="Y16" s="1"/>
      <c r="Z16" s="1"/>
    </row>
    <row r="17" ht="20.25" customHeight="1">
      <c r="A17" s="1"/>
      <c r="B17" s="5" t="s">
        <v>275</v>
      </c>
      <c r="D17" s="1"/>
      <c r="E17" s="47"/>
      <c r="F17" s="49"/>
      <c r="G17" s="1"/>
      <c r="H17" s="1"/>
      <c r="I17" s="1"/>
      <c r="J17" s="1"/>
      <c r="K17" s="1"/>
      <c r="L17" s="1"/>
      <c r="M17" s="1"/>
      <c r="N17" s="1"/>
      <c r="O17" s="1"/>
      <c r="P17" s="1"/>
      <c r="Q17" s="1"/>
      <c r="R17" s="1"/>
      <c r="S17" s="1"/>
      <c r="T17" s="1"/>
      <c r="U17" s="1"/>
      <c r="V17" s="1"/>
      <c r="W17" s="1"/>
      <c r="X17" s="1"/>
      <c r="Y17" s="1"/>
      <c r="Z17" s="1"/>
    </row>
    <row r="18" ht="20.25" customHeight="1">
      <c r="A18" s="1"/>
      <c r="B18" s="13" t="s">
        <v>276</v>
      </c>
      <c r="C18" s="116">
        <f>(C4/12)*C7</f>
        <v>1960</v>
      </c>
      <c r="D18" s="1"/>
      <c r="E18" s="5" t="s">
        <v>277</v>
      </c>
      <c r="G18" s="1"/>
      <c r="H18" s="1"/>
      <c r="I18" s="1"/>
      <c r="J18" s="1"/>
      <c r="K18" s="1"/>
      <c r="L18" s="1"/>
      <c r="M18" s="1"/>
      <c r="N18" s="1"/>
      <c r="O18" s="1"/>
      <c r="P18" s="1"/>
      <c r="Q18" s="1"/>
      <c r="R18" s="1"/>
      <c r="S18" s="1"/>
      <c r="T18" s="1"/>
      <c r="U18" s="1"/>
      <c r="V18" s="1"/>
      <c r="W18" s="1"/>
      <c r="X18" s="1"/>
      <c r="Y18" s="1"/>
      <c r="Z18" s="1"/>
    </row>
    <row r="19" ht="15.75" customHeight="1">
      <c r="A19" s="1"/>
      <c r="B19" s="13" t="s">
        <v>278</v>
      </c>
      <c r="C19" s="116">
        <f>MAX(0,(C4/12)*C8-C5)</f>
        <v>2170</v>
      </c>
      <c r="D19" s="1"/>
      <c r="E19" s="169" t="s">
        <v>279</v>
      </c>
      <c r="F19" s="170"/>
      <c r="G19" s="1"/>
      <c r="H19" s="1"/>
      <c r="I19" s="1"/>
      <c r="J19" s="1"/>
      <c r="K19" s="1"/>
      <c r="L19" s="1"/>
      <c r="M19" s="1"/>
      <c r="N19" s="1"/>
      <c r="O19" s="1"/>
      <c r="P19" s="1"/>
      <c r="Q19" s="1"/>
      <c r="R19" s="1"/>
      <c r="S19" s="1"/>
      <c r="T19" s="1"/>
      <c r="U19" s="1"/>
      <c r="V19" s="1"/>
      <c r="W19" s="1"/>
      <c r="X19" s="1"/>
      <c r="Y19" s="1"/>
      <c r="Z19" s="1"/>
    </row>
    <row r="20" ht="24.0" customHeight="1">
      <c r="A20" s="1"/>
      <c r="B20" s="104" t="s">
        <v>280</v>
      </c>
      <c r="C20" s="143">
        <f>MIN(C18,C19)</f>
        <v>1960</v>
      </c>
      <c r="D20" s="1"/>
      <c r="E20" s="171"/>
      <c r="F20" s="172"/>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73" t="s">
        <v>281</v>
      </c>
      <c r="F21" s="108"/>
      <c r="G21" s="1"/>
      <c r="H21" s="1"/>
      <c r="I21" s="1"/>
      <c r="J21" s="1"/>
      <c r="K21" s="1"/>
      <c r="L21" s="1"/>
      <c r="M21" s="1"/>
      <c r="N21" s="1"/>
      <c r="O21" s="1"/>
      <c r="P21" s="1"/>
      <c r="Q21" s="1"/>
      <c r="R21" s="1"/>
      <c r="S21" s="1"/>
      <c r="T21" s="1"/>
      <c r="U21" s="1"/>
      <c r="V21" s="1"/>
      <c r="W21" s="1"/>
      <c r="X21" s="1"/>
      <c r="Y21" s="1"/>
      <c r="Z21" s="1"/>
    </row>
    <row r="22" ht="15.0" customHeight="1">
      <c r="A22" s="1"/>
      <c r="B22" s="5" t="s">
        <v>282</v>
      </c>
      <c r="D22" s="1"/>
      <c r="E22" s="132" t="s">
        <v>283</v>
      </c>
      <c r="F22" s="174" t="s">
        <v>284</v>
      </c>
      <c r="G22" s="1"/>
      <c r="H22" s="1"/>
      <c r="I22" s="1"/>
      <c r="J22" s="1"/>
      <c r="K22" s="1"/>
      <c r="L22" s="1"/>
      <c r="M22" s="1"/>
      <c r="N22" s="1"/>
      <c r="O22" s="1"/>
      <c r="P22" s="1"/>
      <c r="Q22" s="1"/>
      <c r="R22" s="1"/>
      <c r="S22" s="1"/>
      <c r="T22" s="1"/>
      <c r="U22" s="1"/>
      <c r="V22" s="1"/>
      <c r="W22" s="1"/>
      <c r="X22" s="1"/>
      <c r="Y22" s="1"/>
      <c r="Z22" s="1"/>
    </row>
    <row r="23" ht="15.75" hidden="1" customHeight="1">
      <c r="A23" s="1"/>
      <c r="B23" s="13" t="s">
        <v>285</v>
      </c>
      <c r="C23" s="116">
        <f>MAX(0,C20-C14/12-C15)</f>
        <v>1835</v>
      </c>
      <c r="D23" s="1"/>
      <c r="E23" s="132" t="s">
        <v>286</v>
      </c>
      <c r="F23" s="174" t="s">
        <v>287</v>
      </c>
      <c r="G23" s="1"/>
      <c r="H23" s="1"/>
      <c r="I23" s="1"/>
      <c r="J23" s="1"/>
      <c r="K23" s="1"/>
      <c r="L23" s="1"/>
      <c r="M23" s="1"/>
      <c r="N23" s="1"/>
      <c r="O23" s="1"/>
      <c r="P23" s="1"/>
      <c r="Q23" s="1"/>
      <c r="R23" s="1"/>
      <c r="S23" s="1"/>
      <c r="T23" s="1"/>
      <c r="U23" s="1"/>
      <c r="V23" s="1"/>
      <c r="W23" s="1"/>
      <c r="X23" s="1"/>
      <c r="Y23" s="1"/>
      <c r="Z23" s="1"/>
    </row>
    <row r="24" ht="15.75" hidden="1" customHeight="1">
      <c r="A24" s="1"/>
      <c r="B24" s="13" t="s">
        <v>288</v>
      </c>
      <c r="C24" s="116">
        <f>IF(C11=0,C23*C12*12,C23*(1-(1+C11/12)^(-C12*12))/(C11/12))</f>
        <v>290316.8539</v>
      </c>
      <c r="D24" s="1"/>
      <c r="E24" s="132" t="s">
        <v>289</v>
      </c>
      <c r="F24" s="174" t="s">
        <v>290</v>
      </c>
      <c r="G24" s="1"/>
      <c r="H24" s="1"/>
      <c r="I24" s="1"/>
      <c r="J24" s="1"/>
      <c r="K24" s="1"/>
      <c r="L24" s="1"/>
      <c r="M24" s="1"/>
      <c r="N24" s="1"/>
      <c r="O24" s="1"/>
      <c r="P24" s="1"/>
      <c r="Q24" s="1"/>
      <c r="R24" s="1"/>
      <c r="S24" s="1"/>
      <c r="T24" s="1"/>
      <c r="U24" s="1"/>
      <c r="V24" s="1"/>
      <c r="W24" s="1"/>
      <c r="X24" s="1"/>
      <c r="Y24" s="1"/>
      <c r="Z24" s="1"/>
    </row>
    <row r="25" ht="15.75" hidden="1" customHeight="1">
      <c r="A25" s="1"/>
      <c r="B25" s="13" t="s">
        <v>291</v>
      </c>
      <c r="C25" s="116">
        <f>C24+C6</f>
        <v>290316.8539</v>
      </c>
      <c r="D25" s="1"/>
      <c r="E25" s="173" t="s">
        <v>292</v>
      </c>
      <c r="F25" s="108"/>
      <c r="G25" s="1"/>
      <c r="H25" s="1"/>
      <c r="I25" s="1"/>
      <c r="J25" s="1"/>
      <c r="K25" s="1"/>
      <c r="L25" s="1"/>
      <c r="M25" s="1"/>
      <c r="N25" s="1"/>
      <c r="O25" s="1"/>
      <c r="P25" s="1"/>
      <c r="Q25" s="1"/>
      <c r="R25" s="1"/>
      <c r="S25" s="1"/>
      <c r="T25" s="1"/>
      <c r="U25" s="1"/>
      <c r="V25" s="1"/>
      <c r="W25" s="1"/>
      <c r="X25" s="1"/>
      <c r="Y25" s="1"/>
      <c r="Z25" s="1"/>
    </row>
    <row r="26" ht="15.75" hidden="1" customHeight="1">
      <c r="A26" s="1"/>
      <c r="B26" s="13" t="s">
        <v>293</v>
      </c>
      <c r="C26" s="116">
        <f>C25*C13/12</f>
        <v>266.1237827</v>
      </c>
      <c r="D26" s="1"/>
      <c r="E26" s="132" t="s">
        <v>294</v>
      </c>
      <c r="F26" s="174" t="s">
        <v>295</v>
      </c>
      <c r="G26" s="1"/>
      <c r="H26" s="1"/>
      <c r="I26" s="1"/>
      <c r="J26" s="1"/>
      <c r="K26" s="1"/>
      <c r="L26" s="1"/>
      <c r="M26" s="1"/>
      <c r="N26" s="1"/>
      <c r="O26" s="1"/>
      <c r="P26" s="1"/>
      <c r="Q26" s="1"/>
      <c r="R26" s="1"/>
      <c r="S26" s="1"/>
      <c r="T26" s="1"/>
      <c r="U26" s="1"/>
      <c r="V26" s="1"/>
      <c r="W26" s="1"/>
      <c r="X26" s="1"/>
      <c r="Y26" s="1"/>
      <c r="Z26" s="1"/>
    </row>
    <row r="27" ht="15.75" hidden="1" customHeight="1">
      <c r="A27" s="1"/>
      <c r="B27" s="13" t="s">
        <v>296</v>
      </c>
      <c r="C27" s="116">
        <f>MAX(0,C20-C26-C14/12-C15)</f>
        <v>1568.876217</v>
      </c>
      <c r="D27" s="1"/>
      <c r="E27" s="132" t="s">
        <v>297</v>
      </c>
      <c r="F27" s="174" t="s">
        <v>298</v>
      </c>
      <c r="G27" s="1"/>
      <c r="H27" s="1"/>
      <c r="I27" s="1"/>
      <c r="J27" s="1"/>
      <c r="K27" s="1"/>
      <c r="L27" s="1"/>
      <c r="M27" s="1"/>
      <c r="N27" s="1"/>
      <c r="O27" s="1"/>
      <c r="P27" s="1"/>
      <c r="Q27" s="1"/>
      <c r="R27" s="1"/>
      <c r="S27" s="1"/>
      <c r="T27" s="1"/>
      <c r="U27" s="1"/>
      <c r="V27" s="1"/>
      <c r="W27" s="1"/>
      <c r="X27" s="1"/>
      <c r="Y27" s="1"/>
      <c r="Z27" s="1"/>
    </row>
    <row r="28" ht="15.75" hidden="1" customHeight="1">
      <c r="A28" s="1"/>
      <c r="B28" s="1"/>
      <c r="C28" s="1"/>
      <c r="D28" s="1"/>
      <c r="E28" s="132" t="s">
        <v>299</v>
      </c>
      <c r="F28" s="174" t="s">
        <v>300</v>
      </c>
      <c r="G28" s="1"/>
      <c r="H28" s="1"/>
      <c r="I28" s="1"/>
      <c r="J28" s="1"/>
      <c r="K28" s="1"/>
      <c r="L28" s="1"/>
      <c r="M28" s="1"/>
      <c r="N28" s="1"/>
      <c r="O28" s="1"/>
      <c r="P28" s="1"/>
      <c r="Q28" s="1"/>
      <c r="R28" s="1"/>
      <c r="S28" s="1"/>
      <c r="T28" s="1"/>
      <c r="U28" s="1"/>
      <c r="V28" s="1"/>
      <c r="W28" s="1"/>
      <c r="X28" s="1"/>
      <c r="Y28" s="1"/>
      <c r="Z28" s="1"/>
    </row>
    <row r="29" ht="14.25" customHeight="1">
      <c r="A29" s="1"/>
      <c r="B29" s="5" t="s">
        <v>301</v>
      </c>
      <c r="D29" s="1"/>
      <c r="E29" s="132" t="s">
        <v>302</v>
      </c>
      <c r="F29" s="174" t="s">
        <v>303</v>
      </c>
      <c r="G29" s="1"/>
      <c r="H29" s="1"/>
      <c r="I29" s="1"/>
      <c r="J29" s="1"/>
      <c r="K29" s="1"/>
      <c r="L29" s="1"/>
      <c r="M29" s="1"/>
      <c r="N29" s="1"/>
      <c r="O29" s="1"/>
      <c r="P29" s="1"/>
      <c r="Q29" s="1"/>
      <c r="R29" s="1"/>
      <c r="S29" s="1"/>
      <c r="T29" s="1"/>
      <c r="U29" s="1"/>
      <c r="V29" s="1"/>
      <c r="W29" s="1"/>
      <c r="X29" s="1"/>
      <c r="Y29" s="1"/>
      <c r="Z29" s="1"/>
    </row>
    <row r="30" ht="15.75" customHeight="1">
      <c r="A30" s="1"/>
      <c r="B30" s="104" t="s">
        <v>304</v>
      </c>
      <c r="C30" s="147">
        <f>IF(C11=0,C27*C12*12,C27*(1-(1+C11/12)^(-C12*12))/(C11/12))</f>
        <v>248213.1921</v>
      </c>
      <c r="D30" s="1"/>
      <c r="E30" s="175" t="s">
        <v>305</v>
      </c>
      <c r="F30" s="170"/>
      <c r="G30" s="1"/>
      <c r="H30" s="1"/>
      <c r="I30" s="1"/>
      <c r="J30" s="1"/>
      <c r="K30" s="1"/>
      <c r="L30" s="1"/>
      <c r="M30" s="1"/>
      <c r="N30" s="1"/>
      <c r="O30" s="1"/>
      <c r="P30" s="1"/>
      <c r="Q30" s="1"/>
      <c r="R30" s="1"/>
      <c r="S30" s="1"/>
      <c r="T30" s="1"/>
      <c r="U30" s="1"/>
      <c r="V30" s="1"/>
      <c r="W30" s="1"/>
      <c r="X30" s="1"/>
      <c r="Y30" s="1"/>
      <c r="Z30" s="1"/>
    </row>
    <row r="31" ht="21.75" customHeight="1">
      <c r="A31" s="1"/>
      <c r="B31" s="137" t="s">
        <v>307</v>
      </c>
      <c r="C31" s="177">
        <f>C30+C6</f>
        <v>248213.1921</v>
      </c>
      <c r="D31" s="1"/>
      <c r="E31" s="171"/>
      <c r="F31" s="172"/>
      <c r="G31" s="1"/>
      <c r="H31" s="1"/>
      <c r="I31" s="1"/>
      <c r="J31" s="1"/>
      <c r="K31" s="1"/>
      <c r="L31" s="1"/>
      <c r="M31" s="1"/>
      <c r="N31" s="1"/>
      <c r="O31" s="1"/>
      <c r="P31" s="1"/>
      <c r="Q31" s="1"/>
      <c r="R31" s="1"/>
      <c r="S31" s="1"/>
      <c r="T31" s="1"/>
      <c r="U31" s="1"/>
      <c r="V31" s="1"/>
      <c r="W31" s="1"/>
      <c r="X31" s="1"/>
      <c r="Y31" s="1"/>
      <c r="Z31" s="1"/>
    </row>
    <row r="32" ht="15.75" customHeight="1">
      <c r="A32" s="1"/>
      <c r="B32" s="13" t="s">
        <v>309</v>
      </c>
      <c r="C32" s="116">
        <f>C27+C26+C14/12+C15</f>
        <v>1960</v>
      </c>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5" t="s">
        <v>313</v>
      </c>
      <c r="G34" s="1"/>
      <c r="H34" s="1"/>
      <c r="I34" s="1"/>
      <c r="J34" s="1"/>
      <c r="K34" s="1"/>
      <c r="L34" s="1"/>
      <c r="M34" s="1"/>
      <c r="N34" s="1"/>
      <c r="O34" s="1"/>
      <c r="P34" s="1"/>
      <c r="Q34" s="1"/>
      <c r="R34" s="1"/>
      <c r="S34" s="1"/>
      <c r="T34" s="1"/>
      <c r="U34" s="1"/>
      <c r="V34" s="1"/>
      <c r="W34" s="1"/>
      <c r="X34" s="1"/>
      <c r="Y34" s="1"/>
      <c r="Z34" s="1"/>
    </row>
    <row r="35" ht="45.0" customHeight="1">
      <c r="A35" s="1"/>
      <c r="B35" s="144" t="str">
        <f>"Based on your income, debts, and down payment, you could likely afford a home up to "&amp;TEXT(C31,"$#,##0")&amp;", with a total monthly payment (principal, interest, taxes, and insurance) around "&amp;TEXT(C32,"$#,##0")&amp;" per month."</f>
        <v>Based on your income, debts, and down payment, you could likely afford a home up to $248,213, with a total monthly payment (principal, interest, taxes, and insurance) around $1,960 per month.</v>
      </c>
      <c r="C35" s="44"/>
      <c r="D35" s="44"/>
      <c r="E35" s="44"/>
      <c r="F35" s="45"/>
      <c r="G35" s="1"/>
      <c r="H35" s="1"/>
      <c r="I35" s="1"/>
      <c r="J35" s="1"/>
      <c r="K35" s="1"/>
      <c r="L35" s="1"/>
      <c r="M35" s="1"/>
      <c r="N35" s="1"/>
      <c r="O35" s="1"/>
      <c r="P35" s="1"/>
      <c r="Q35" s="1"/>
      <c r="R35" s="1"/>
      <c r="S35" s="1"/>
      <c r="T35" s="1"/>
      <c r="U35" s="1"/>
      <c r="V35" s="1"/>
      <c r="W35" s="1"/>
      <c r="X35" s="1"/>
      <c r="Y35" s="1"/>
      <c r="Z35" s="1"/>
    </row>
    <row r="36" ht="15.75" customHeight="1">
      <c r="A36" s="1"/>
      <c r="B36" s="47"/>
      <c r="C36" s="48"/>
      <c r="D36" s="48"/>
      <c r="E36" s="48"/>
      <c r="F36" s="49"/>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H235" s="1"/>
      <c r="I235" s="1"/>
      <c r="J235" s="1"/>
      <c r="K235" s="1"/>
      <c r="L235" s="1"/>
      <c r="M235" s="1"/>
      <c r="N235" s="1"/>
      <c r="O235" s="1"/>
      <c r="P235" s="1"/>
      <c r="Q235" s="1"/>
      <c r="R235" s="1"/>
      <c r="S235" s="1"/>
      <c r="T235" s="1"/>
      <c r="U235" s="1"/>
      <c r="V235" s="1"/>
      <c r="W235" s="1"/>
      <c r="X235" s="1"/>
      <c r="Y235" s="1"/>
      <c r="Z235" s="1"/>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E19:F20"/>
    <mergeCell ref="E21:F21"/>
    <mergeCell ref="B22:C22"/>
    <mergeCell ref="E25:F25"/>
    <mergeCell ref="B29:C29"/>
    <mergeCell ref="E30:F31"/>
    <mergeCell ref="B34:F34"/>
    <mergeCell ref="B35:F36"/>
    <mergeCell ref="B1:F1"/>
    <mergeCell ref="B3:C3"/>
    <mergeCell ref="E3:F3"/>
    <mergeCell ref="B10:C10"/>
    <mergeCell ref="E15:F17"/>
    <mergeCell ref="B17:C17"/>
    <mergeCell ref="E18:F18"/>
  </mergeCells>
  <conditionalFormatting sqref="F13">
    <cfRule type="expression" dxfId="1" priority="1">
      <formula>$F$13="Within your guidelines"</formula>
    </cfRule>
  </conditionalFormatting>
  <conditionalFormatting sqref="F13">
    <cfRule type="expression" dxfId="2" priority="2">
      <formula>$F$13="Above your target guidelines"</formula>
    </cfRule>
  </conditionalFormatting>
  <dataValidations>
    <dataValidation type="list" allowBlank="1" sqref="C12">
      <formula1>"15,20,30"</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pageSetUpPr/>
  </sheetPr>
  <sheetViews>
    <sheetView showGridLines="0" workbookViewId="0"/>
  </sheetViews>
  <sheetFormatPr customHeight="1" defaultColWidth="14.43" defaultRowHeight="15.0"/>
  <cols>
    <col customWidth="1" min="1" max="1" width="3.0"/>
    <col customWidth="1" min="2" max="2" width="12.0"/>
    <col customWidth="1" min="3" max="6" width="14.0"/>
    <col customWidth="1" min="7" max="7" width="24.0"/>
    <col customWidth="1" min="9" max="9" width="6.14"/>
    <col customWidth="1" min="10" max="10" width="23.0"/>
    <col customWidth="1" min="11" max="11" width="15.0"/>
    <col customWidth="1" min="12" max="12" width="16.71"/>
    <col customWidth="1" min="13" max="13" width="26.43"/>
    <col customWidth="1" min="14" max="15" width="15.0"/>
    <col customWidth="1" min="16" max="27" width="14.43"/>
  </cols>
  <sheetData>
    <row r="1" ht="21.75" customHeight="1">
      <c r="A1" s="1"/>
      <c r="B1" s="3" t="s">
        <v>306</v>
      </c>
      <c r="H1" s="1"/>
      <c r="I1" s="1"/>
      <c r="J1" s="176" t="s">
        <v>308</v>
      </c>
      <c r="P1" s="1"/>
      <c r="Q1" s="1"/>
      <c r="R1" s="1"/>
      <c r="S1" s="1"/>
      <c r="T1" s="1"/>
      <c r="U1" s="1"/>
      <c r="V1" s="1"/>
      <c r="W1" s="1"/>
      <c r="X1" s="1"/>
      <c r="Y1" s="1"/>
      <c r="Z1" s="1"/>
      <c r="AA1" s="1"/>
    </row>
    <row r="2" ht="15.0" customHeight="1">
      <c r="A2" s="1"/>
      <c r="B2" s="1"/>
      <c r="C2" s="1"/>
      <c r="D2" s="1"/>
      <c r="E2" s="1"/>
      <c r="F2" s="1"/>
      <c r="G2" s="1"/>
      <c r="H2" s="1"/>
      <c r="I2" s="1"/>
      <c r="J2" s="1"/>
      <c r="K2" s="1"/>
      <c r="L2" s="1"/>
      <c r="M2" s="1"/>
      <c r="N2" s="1"/>
      <c r="O2" s="1"/>
      <c r="P2" s="1"/>
      <c r="Q2" s="1"/>
      <c r="R2" s="1"/>
      <c r="S2" s="1"/>
      <c r="T2" s="1"/>
      <c r="U2" s="1"/>
      <c r="V2" s="1"/>
      <c r="W2" s="1"/>
      <c r="X2" s="1"/>
      <c r="Y2" s="1"/>
      <c r="Z2" s="1"/>
      <c r="AA2" s="1"/>
    </row>
    <row r="3" ht="15.0" customHeight="1">
      <c r="A3" s="1"/>
      <c r="B3" s="5" t="s">
        <v>310</v>
      </c>
      <c r="H3" s="1"/>
      <c r="I3" s="1"/>
      <c r="J3" s="178" t="s">
        <v>311</v>
      </c>
      <c r="M3" s="179" t="s">
        <v>312</v>
      </c>
      <c r="P3" s="1"/>
      <c r="Q3" s="1"/>
      <c r="R3" s="1"/>
      <c r="S3" s="1"/>
      <c r="T3" s="1"/>
      <c r="U3" s="1"/>
      <c r="V3" s="1"/>
      <c r="W3" s="1"/>
      <c r="X3" s="1"/>
      <c r="Y3" s="1"/>
      <c r="Z3" s="1"/>
      <c r="AA3" s="1"/>
    </row>
    <row r="4" ht="15.0" customHeight="1">
      <c r="A4" s="1"/>
      <c r="B4" s="129" t="s">
        <v>314</v>
      </c>
      <c r="C4" s="129" t="s">
        <v>25</v>
      </c>
      <c r="D4" s="129" t="s">
        <v>111</v>
      </c>
      <c r="E4" s="129" t="s">
        <v>315</v>
      </c>
      <c r="F4" s="129" t="s">
        <v>316</v>
      </c>
      <c r="G4" s="129" t="s">
        <v>16</v>
      </c>
      <c r="H4" s="1"/>
      <c r="I4" s="1"/>
      <c r="J4" s="180" t="s">
        <v>317</v>
      </c>
      <c r="K4" s="181">
        <v>126000.0</v>
      </c>
      <c r="L4" s="1"/>
      <c r="M4" s="180" t="s">
        <v>318</v>
      </c>
      <c r="N4" s="182">
        <f>IF(K4&gt;=K7,0,IF(AND(K5&lt;=0,K6&lt;=0),NA(),IF(K6=0,(K7-K4)/K5,NPER(K6,-K5,-K4,K7))))</f>
        <v>28.33505425</v>
      </c>
      <c r="O4" s="1"/>
      <c r="P4" s="1"/>
      <c r="Q4" s="1"/>
      <c r="R4" s="1"/>
      <c r="S4" s="1"/>
      <c r="T4" s="1"/>
      <c r="U4" s="1"/>
      <c r="V4" s="1"/>
      <c r="W4" s="1"/>
      <c r="X4" s="1"/>
      <c r="Y4" s="1"/>
      <c r="Z4" s="1"/>
      <c r="AA4" s="1"/>
    </row>
    <row r="5" ht="15.0" customHeight="1">
      <c r="A5" s="1"/>
      <c r="B5" s="13" t="s">
        <v>319</v>
      </c>
      <c r="C5" s="32">
        <v>7000.0</v>
      </c>
      <c r="D5" s="32">
        <v>3700.0</v>
      </c>
      <c r="E5" s="116">
        <f t="shared" ref="E5:E16" si="1">IF(OR(C5="",D5=""),"",C5-D5)</f>
        <v>3300</v>
      </c>
      <c r="F5" s="32">
        <v>119000.0</v>
      </c>
      <c r="G5" s="13"/>
      <c r="H5" s="1"/>
      <c r="I5" s="1"/>
      <c r="J5" s="180" t="s">
        <v>320</v>
      </c>
      <c r="K5" s="181">
        <v>19200.0</v>
      </c>
      <c r="L5" s="1"/>
      <c r="M5" s="180" t="s">
        <v>321</v>
      </c>
      <c r="N5" s="183">
        <f>IFERROR(K8+ROUNDUP(N4,0),"—")</f>
        <v>2052</v>
      </c>
      <c r="O5" s="1"/>
      <c r="P5" s="1"/>
      <c r="Q5" s="1"/>
      <c r="R5" s="1"/>
      <c r="S5" s="1"/>
      <c r="T5" s="1"/>
      <c r="U5" s="1"/>
      <c r="V5" s="1"/>
      <c r="W5" s="1"/>
      <c r="X5" s="1"/>
      <c r="Y5" s="1"/>
      <c r="Z5" s="1"/>
      <c r="AA5" s="1"/>
    </row>
    <row r="6" ht="15.0" customHeight="1">
      <c r="A6" s="1"/>
      <c r="B6" s="13" t="s">
        <v>322</v>
      </c>
      <c r="C6" s="32">
        <v>7000.0</v>
      </c>
      <c r="D6" s="32">
        <v>3700.0</v>
      </c>
      <c r="E6" s="116">
        <f t="shared" si="1"/>
        <v>3300</v>
      </c>
      <c r="F6" s="32">
        <v>123000.0</v>
      </c>
      <c r="G6" s="13"/>
      <c r="H6" s="1"/>
      <c r="I6" s="1"/>
      <c r="J6" s="180" t="s">
        <v>323</v>
      </c>
      <c r="K6" s="184">
        <v>0.08</v>
      </c>
      <c r="L6" s="1"/>
      <c r="M6" s="180" t="s">
        <v>324</v>
      </c>
      <c r="N6" s="185">
        <f>IF(K6=0,K4+K5*10,K4*(1+K6)^10+K5*((1+K6)^10-1)/K6)</f>
        <v>550166.549</v>
      </c>
      <c r="O6" s="1"/>
      <c r="P6" s="1"/>
      <c r="Q6" s="1"/>
      <c r="R6" s="1"/>
      <c r="S6" s="1"/>
      <c r="T6" s="1"/>
      <c r="U6" s="1"/>
      <c r="V6" s="1"/>
      <c r="W6" s="1"/>
      <c r="X6" s="1"/>
      <c r="Y6" s="1"/>
      <c r="Z6" s="1"/>
      <c r="AA6" s="1"/>
    </row>
    <row r="7" ht="15.0" customHeight="1">
      <c r="A7" s="1"/>
      <c r="B7" s="13" t="s">
        <v>325</v>
      </c>
      <c r="C7" s="32">
        <v>7000.0</v>
      </c>
      <c r="D7" s="32">
        <v>3700.0</v>
      </c>
      <c r="E7" s="116">
        <f t="shared" si="1"/>
        <v>3300</v>
      </c>
      <c r="F7" s="32">
        <v>126000.0</v>
      </c>
      <c r="G7" s="13"/>
      <c r="H7" s="1"/>
      <c r="I7" s="1"/>
      <c r="J7" s="180" t="s">
        <v>326</v>
      </c>
      <c r="K7" s="181">
        <v>3000000.0</v>
      </c>
      <c r="L7" s="1"/>
      <c r="M7" s="180" t="s">
        <v>327</v>
      </c>
      <c r="N7" s="185">
        <f>IFERROR(K4+K5*ROUNDUP(N4,0),"—")</f>
        <v>682800</v>
      </c>
      <c r="O7" s="1"/>
      <c r="P7" s="1"/>
      <c r="Q7" s="1"/>
      <c r="R7" s="1"/>
      <c r="S7" s="1"/>
      <c r="T7" s="1"/>
      <c r="U7" s="1"/>
      <c r="V7" s="1"/>
      <c r="W7" s="1"/>
      <c r="X7" s="1"/>
      <c r="Y7" s="1"/>
      <c r="Z7" s="1"/>
      <c r="AA7" s="1"/>
    </row>
    <row r="8" ht="15.0" customHeight="1">
      <c r="A8" s="1"/>
      <c r="B8" s="13" t="s">
        <v>328</v>
      </c>
      <c r="C8" s="32"/>
      <c r="D8" s="32"/>
      <c r="E8" s="116" t="str">
        <f t="shared" si="1"/>
        <v/>
      </c>
      <c r="F8" s="77"/>
      <c r="G8" s="13"/>
      <c r="H8" s="1"/>
      <c r="I8" s="1"/>
      <c r="J8" s="180" t="s">
        <v>329</v>
      </c>
      <c r="K8" s="187">
        <v>2023.0</v>
      </c>
      <c r="L8" s="1"/>
      <c r="M8" s="180" t="s">
        <v>330</v>
      </c>
      <c r="N8" s="185">
        <f>IFERROR(K7-N7,"—")</f>
        <v>2317200</v>
      </c>
      <c r="O8" s="1"/>
      <c r="P8" s="1"/>
      <c r="Q8" s="1"/>
      <c r="R8" s="1"/>
      <c r="S8" s="1"/>
      <c r="T8" s="1"/>
      <c r="U8" s="1"/>
      <c r="V8" s="1"/>
      <c r="W8" s="1"/>
      <c r="X8" s="1"/>
      <c r="Y8" s="1"/>
      <c r="Z8" s="1"/>
      <c r="AA8" s="1"/>
    </row>
    <row r="9" ht="15.0" customHeight="1">
      <c r="A9" s="1"/>
      <c r="B9" s="13" t="s">
        <v>331</v>
      </c>
      <c r="C9" s="77"/>
      <c r="D9" s="77"/>
      <c r="E9" s="116" t="str">
        <f t="shared" si="1"/>
        <v/>
      </c>
      <c r="F9" s="77"/>
      <c r="G9" s="13"/>
      <c r="H9" s="1"/>
      <c r="I9" s="1"/>
      <c r="J9" s="1"/>
      <c r="K9" s="1"/>
      <c r="L9" s="1"/>
      <c r="M9" s="1"/>
      <c r="N9" s="1"/>
      <c r="O9" s="1"/>
      <c r="P9" s="1"/>
      <c r="Q9" s="1"/>
      <c r="R9" s="1"/>
      <c r="S9" s="1"/>
      <c r="T9" s="1"/>
      <c r="U9" s="1"/>
      <c r="V9" s="1"/>
      <c r="W9" s="1"/>
      <c r="X9" s="1"/>
      <c r="Y9" s="1"/>
      <c r="Z9" s="1"/>
      <c r="AA9" s="1"/>
    </row>
    <row r="10" ht="15.0" customHeight="1">
      <c r="A10" s="1"/>
      <c r="B10" s="13" t="s">
        <v>332</v>
      </c>
      <c r="C10" s="77"/>
      <c r="D10" s="77"/>
      <c r="E10" s="116" t="str">
        <f t="shared" si="1"/>
        <v/>
      </c>
      <c r="F10" s="77"/>
      <c r="G10" s="13"/>
      <c r="H10" s="1"/>
      <c r="I10" s="1"/>
      <c r="J10" s="188" t="s">
        <v>333</v>
      </c>
      <c r="K10" s="189"/>
      <c r="L10" s="189"/>
      <c r="M10" s="189"/>
      <c r="N10" s="189"/>
      <c r="O10" s="170"/>
      <c r="P10" s="1"/>
      <c r="Q10" s="1"/>
      <c r="R10" s="1"/>
      <c r="S10" s="1"/>
      <c r="T10" s="1"/>
      <c r="U10" s="1"/>
      <c r="V10" s="1"/>
      <c r="W10" s="1"/>
      <c r="X10" s="1"/>
      <c r="Y10" s="1"/>
      <c r="Z10" s="1"/>
      <c r="AA10" s="1"/>
    </row>
    <row r="11" ht="15.0" customHeight="1">
      <c r="A11" s="1"/>
      <c r="B11" s="13" t="s">
        <v>334</v>
      </c>
      <c r="C11" s="77"/>
      <c r="D11" s="77"/>
      <c r="E11" s="116" t="str">
        <f t="shared" si="1"/>
        <v/>
      </c>
      <c r="F11" s="77"/>
      <c r="G11" s="13"/>
      <c r="H11" s="1"/>
      <c r="I11" s="1"/>
      <c r="J11" s="171"/>
      <c r="K11" s="190"/>
      <c r="L11" s="190"/>
      <c r="M11" s="190"/>
      <c r="N11" s="190"/>
      <c r="O11" s="172"/>
      <c r="P11" s="1"/>
      <c r="Q11" s="1"/>
      <c r="R11" s="1"/>
      <c r="S11" s="1"/>
      <c r="T11" s="1"/>
      <c r="U11" s="1"/>
      <c r="V11" s="1"/>
      <c r="W11" s="1"/>
      <c r="X11" s="1"/>
      <c r="Y11" s="1"/>
      <c r="Z11" s="1"/>
      <c r="AA11" s="1"/>
    </row>
    <row r="12" ht="15.0" customHeight="1">
      <c r="A12" s="1"/>
      <c r="B12" s="13" t="s">
        <v>335</v>
      </c>
      <c r="C12" s="77"/>
      <c r="D12" s="77"/>
      <c r="E12" s="116" t="str">
        <f t="shared" si="1"/>
        <v/>
      </c>
      <c r="F12" s="77"/>
      <c r="G12" s="13"/>
      <c r="H12" s="1"/>
      <c r="I12" s="1"/>
      <c r="J12" s="1"/>
      <c r="K12" s="1"/>
      <c r="L12" s="1"/>
      <c r="M12" s="1"/>
      <c r="N12" s="1"/>
      <c r="O12" s="1"/>
      <c r="P12" s="1"/>
      <c r="Q12" s="1"/>
      <c r="R12" s="1"/>
      <c r="S12" s="1"/>
      <c r="T12" s="1"/>
      <c r="U12" s="1"/>
      <c r="V12" s="1"/>
      <c r="W12" s="1"/>
      <c r="X12" s="1"/>
      <c r="Y12" s="1"/>
      <c r="Z12" s="1"/>
      <c r="AA12" s="1"/>
    </row>
    <row r="13" ht="15.0" customHeight="1">
      <c r="A13" s="1"/>
      <c r="B13" s="13" t="s">
        <v>336</v>
      </c>
      <c r="C13" s="77"/>
      <c r="D13" s="77"/>
      <c r="E13" s="116" t="str">
        <f t="shared" si="1"/>
        <v/>
      </c>
      <c r="F13" s="77"/>
      <c r="G13" s="13"/>
      <c r="H13" s="1"/>
      <c r="I13" s="1"/>
      <c r="J13" s="1"/>
      <c r="K13" s="1"/>
      <c r="L13" s="1"/>
      <c r="M13" s="1"/>
      <c r="N13" s="1"/>
      <c r="O13" s="1"/>
      <c r="P13" s="1"/>
      <c r="Q13" s="1"/>
      <c r="R13" s="1"/>
      <c r="S13" s="1"/>
      <c r="T13" s="1"/>
      <c r="U13" s="1"/>
      <c r="V13" s="1"/>
      <c r="W13" s="1"/>
      <c r="X13" s="1"/>
      <c r="Y13" s="1"/>
      <c r="Z13" s="1"/>
      <c r="AA13" s="1"/>
    </row>
    <row r="14" ht="15.0" customHeight="1">
      <c r="A14" s="1"/>
      <c r="B14" s="13" t="s">
        <v>337</v>
      </c>
      <c r="C14" s="77"/>
      <c r="D14" s="77"/>
      <c r="E14" s="116" t="str">
        <f t="shared" si="1"/>
        <v/>
      </c>
      <c r="F14" s="77"/>
      <c r="G14" s="13"/>
      <c r="H14" s="1"/>
      <c r="I14" s="1"/>
      <c r="J14" s="1"/>
      <c r="K14" s="1"/>
      <c r="L14" s="1"/>
      <c r="M14" s="1"/>
      <c r="N14" s="1"/>
      <c r="O14" s="1"/>
      <c r="P14" s="1"/>
      <c r="Q14" s="1"/>
      <c r="R14" s="1"/>
      <c r="S14" s="1"/>
      <c r="T14" s="1"/>
      <c r="U14" s="1"/>
      <c r="V14" s="1"/>
      <c r="W14" s="1"/>
      <c r="X14" s="1"/>
      <c r="Y14" s="1"/>
      <c r="Z14" s="1"/>
      <c r="AA14" s="1"/>
    </row>
    <row r="15" ht="15.0" customHeight="1">
      <c r="A15" s="1"/>
      <c r="B15" s="13" t="s">
        <v>338</v>
      </c>
      <c r="C15" s="77"/>
      <c r="D15" s="77"/>
      <c r="E15" s="116" t="str">
        <f t="shared" si="1"/>
        <v/>
      </c>
      <c r="F15" s="77"/>
      <c r="G15" s="13"/>
      <c r="H15" s="1"/>
      <c r="I15" s="1"/>
      <c r="J15" s="1"/>
      <c r="K15" s="1"/>
      <c r="L15" s="1"/>
      <c r="M15" s="1"/>
      <c r="N15" s="1"/>
      <c r="O15" s="1"/>
      <c r="P15" s="1"/>
      <c r="Q15" s="1"/>
      <c r="R15" s="1"/>
      <c r="S15" s="1"/>
      <c r="T15" s="1"/>
      <c r="U15" s="1"/>
      <c r="V15" s="1"/>
      <c r="W15" s="1"/>
      <c r="X15" s="1"/>
      <c r="Y15" s="1"/>
      <c r="Z15" s="1"/>
      <c r="AA15" s="1"/>
    </row>
    <row r="16" ht="15.0" customHeight="1">
      <c r="A16" s="1"/>
      <c r="B16" s="13" t="s">
        <v>339</v>
      </c>
      <c r="C16" s="77"/>
      <c r="D16" s="77"/>
      <c r="E16" s="116" t="str">
        <f t="shared" si="1"/>
        <v/>
      </c>
      <c r="F16" s="77"/>
      <c r="G16" s="13"/>
      <c r="H16" s="1"/>
      <c r="I16" s="1"/>
      <c r="J16" s="1"/>
      <c r="K16" s="1"/>
      <c r="L16" s="1"/>
      <c r="M16" s="1"/>
      <c r="N16" s="1"/>
      <c r="O16" s="1"/>
      <c r="P16" s="1"/>
      <c r="Q16" s="1"/>
      <c r="R16" s="1"/>
      <c r="S16" s="1"/>
      <c r="T16" s="1"/>
      <c r="U16" s="1"/>
      <c r="V16" s="1"/>
      <c r="W16" s="1"/>
      <c r="X16" s="1"/>
      <c r="Y16" s="1"/>
      <c r="Z16" s="1"/>
      <c r="AA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ht="27.75" customHeight="1">
      <c r="A18" s="1"/>
      <c r="B18" s="124" t="s">
        <v>340</v>
      </c>
      <c r="C18" s="54"/>
      <c r="D18" s="54"/>
      <c r="E18" s="54"/>
      <c r="F18" s="54"/>
      <c r="G18" s="55"/>
      <c r="H18" s="1"/>
      <c r="I18" s="1"/>
      <c r="J18" s="1"/>
      <c r="K18" s="1"/>
      <c r="L18" s="1"/>
      <c r="M18" s="1"/>
      <c r="N18" s="1"/>
      <c r="O18" s="1"/>
      <c r="P18" s="1"/>
      <c r="Q18" s="1"/>
      <c r="R18" s="1"/>
      <c r="S18" s="1"/>
      <c r="T18" s="1"/>
      <c r="U18" s="1"/>
      <c r="V18" s="1"/>
      <c r="W18" s="1"/>
      <c r="X18" s="1"/>
      <c r="Y18" s="1"/>
      <c r="Z18" s="1"/>
      <c r="AA18" s="1"/>
    </row>
    <row r="19" ht="13.5" customHeight="1">
      <c r="A19" s="1"/>
      <c r="B19" s="191"/>
      <c r="C19" s="191"/>
      <c r="D19" s="191"/>
      <c r="E19" s="191"/>
      <c r="F19" s="191"/>
      <c r="G19" s="191"/>
      <c r="H19" s="1"/>
      <c r="I19" s="1"/>
      <c r="J19" s="1"/>
      <c r="K19" s="1"/>
      <c r="L19" s="1"/>
      <c r="M19" s="1"/>
      <c r="N19" s="1"/>
      <c r="O19" s="1"/>
      <c r="P19" s="1"/>
      <c r="Q19" s="1"/>
      <c r="R19" s="1"/>
      <c r="S19" s="1"/>
      <c r="T19" s="1"/>
      <c r="U19" s="1"/>
      <c r="V19" s="1"/>
      <c r="W19" s="1"/>
      <c r="X19" s="1"/>
      <c r="Y19" s="1"/>
      <c r="Z19" s="1"/>
      <c r="AA19" s="1"/>
    </row>
    <row r="20" ht="27.75" customHeight="1">
      <c r="A20" s="1"/>
      <c r="B20" s="191"/>
      <c r="H20" s="1"/>
      <c r="I20" s="1"/>
      <c r="J20" s="1"/>
      <c r="K20" s="1"/>
      <c r="L20" s="1"/>
      <c r="M20" s="1"/>
      <c r="N20" s="1"/>
      <c r="O20" s="1"/>
      <c r="P20" s="1"/>
      <c r="Q20" s="1"/>
      <c r="R20" s="1"/>
      <c r="S20" s="1"/>
      <c r="T20" s="1"/>
      <c r="U20" s="1"/>
      <c r="V20" s="1"/>
      <c r="W20" s="1"/>
      <c r="X20" s="1"/>
      <c r="Y20" s="1"/>
      <c r="Z20" s="1"/>
      <c r="AA20" s="1"/>
    </row>
    <row r="21" ht="15.0"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ht="15.0"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ht="15.75" customHeight="1">
      <c r="A42" s="1"/>
      <c r="B42" s="1"/>
      <c r="C42" s="1"/>
      <c r="D42" s="1"/>
      <c r="E42" s="1"/>
      <c r="F42" s="1"/>
      <c r="G42" s="1"/>
      <c r="H42" s="1"/>
      <c r="I42" s="1"/>
      <c r="J42" s="192" t="s">
        <v>341</v>
      </c>
      <c r="K42" s="192" t="s">
        <v>342</v>
      </c>
      <c r="L42" s="192" t="s">
        <v>343</v>
      </c>
      <c r="M42" s="192" t="s">
        <v>344</v>
      </c>
      <c r="N42" s="1"/>
      <c r="O42" s="1"/>
      <c r="P42" s="1"/>
      <c r="Q42" s="1"/>
      <c r="R42" s="1"/>
      <c r="S42" s="1"/>
      <c r="T42" s="1"/>
      <c r="U42" s="1"/>
      <c r="V42" s="1"/>
      <c r="W42" s="1"/>
      <c r="X42" s="1"/>
      <c r="Y42" s="1"/>
      <c r="Z42" s="1"/>
      <c r="AA42" s="1"/>
    </row>
    <row r="43" ht="15.75" customHeight="1">
      <c r="A43" s="1"/>
      <c r="B43" s="1"/>
      <c r="C43" s="1"/>
      <c r="D43" s="1"/>
      <c r="E43" s="1"/>
      <c r="F43" s="1"/>
      <c r="G43" s="1"/>
      <c r="H43" s="1"/>
      <c r="I43" s="1"/>
      <c r="J43" s="193">
        <f>$K$8+0</f>
        <v>2023</v>
      </c>
      <c r="K43" s="194">
        <f>$K$4+$K$5*0</f>
        <v>126000</v>
      </c>
      <c r="L43" s="194">
        <f>$K$4</f>
        <v>126000</v>
      </c>
      <c r="M43" s="194">
        <f t="shared" ref="M43:M83" si="2">$K$7</f>
        <v>3000000</v>
      </c>
      <c r="N43" s="1"/>
      <c r="O43" s="1"/>
      <c r="P43" s="1"/>
      <c r="Q43" s="1"/>
      <c r="R43" s="1"/>
      <c r="S43" s="1"/>
      <c r="T43" s="1"/>
      <c r="U43" s="1"/>
      <c r="V43" s="1"/>
      <c r="W43" s="1"/>
      <c r="X43" s="1"/>
      <c r="Y43" s="1"/>
      <c r="Z43" s="1"/>
      <c r="AA43" s="1"/>
    </row>
    <row r="44" ht="15.75" customHeight="1">
      <c r="A44" s="1"/>
      <c r="B44" s="1"/>
      <c r="C44" s="1"/>
      <c r="D44" s="1"/>
      <c r="E44" s="1"/>
      <c r="F44" s="1"/>
      <c r="G44" s="1"/>
      <c r="H44" s="1"/>
      <c r="I44" s="1"/>
      <c r="J44" s="195">
        <f>$K$8+1</f>
        <v>2024</v>
      </c>
      <c r="K44" s="196">
        <f>$K$4+$K$5*1</f>
        <v>145200</v>
      </c>
      <c r="L44" s="196">
        <f t="shared" ref="L44:L83" si="3">L43*(1+$K$6)+$K$5</f>
        <v>155280</v>
      </c>
      <c r="M44" s="196">
        <f t="shared" si="2"/>
        <v>3000000</v>
      </c>
      <c r="N44" s="1"/>
      <c r="O44" s="1"/>
      <c r="P44" s="1"/>
      <c r="Q44" s="1"/>
      <c r="R44" s="1"/>
      <c r="S44" s="1"/>
      <c r="T44" s="1"/>
      <c r="U44" s="1"/>
      <c r="V44" s="1"/>
      <c r="W44" s="1"/>
      <c r="X44" s="1"/>
      <c r="Y44" s="1"/>
      <c r="Z44" s="1"/>
      <c r="AA44" s="1"/>
    </row>
    <row r="45" ht="15.75" customHeight="1">
      <c r="A45" s="1"/>
      <c r="B45" s="1"/>
      <c r="C45" s="1"/>
      <c r="D45" s="1"/>
      <c r="E45" s="1"/>
      <c r="F45" s="1"/>
      <c r="G45" s="1"/>
      <c r="H45" s="1"/>
      <c r="I45" s="1"/>
      <c r="J45" s="195">
        <f>$K$8+2</f>
        <v>2025</v>
      </c>
      <c r="K45" s="196">
        <f>$K$4+$K$5*2</f>
        <v>164400</v>
      </c>
      <c r="L45" s="196">
        <f t="shared" si="3"/>
        <v>186902.4</v>
      </c>
      <c r="M45" s="196">
        <f t="shared" si="2"/>
        <v>3000000</v>
      </c>
      <c r="N45" s="1"/>
      <c r="O45" s="1"/>
      <c r="P45" s="1"/>
      <c r="Q45" s="1"/>
      <c r="R45" s="1"/>
      <c r="S45" s="1"/>
      <c r="T45" s="1"/>
      <c r="U45" s="1"/>
      <c r="V45" s="1"/>
      <c r="W45" s="1"/>
      <c r="X45" s="1"/>
      <c r="Y45" s="1"/>
      <c r="Z45" s="1"/>
      <c r="AA45" s="1"/>
    </row>
    <row r="46" ht="15.75" customHeight="1">
      <c r="A46" s="1"/>
      <c r="B46" s="1"/>
      <c r="C46" s="1"/>
      <c r="D46" s="1"/>
      <c r="E46" s="1"/>
      <c r="F46" s="1"/>
      <c r="G46" s="1"/>
      <c r="H46" s="1"/>
      <c r="I46" s="1"/>
      <c r="J46" s="195">
        <f>$K$8+3</f>
        <v>2026</v>
      </c>
      <c r="K46" s="196">
        <f>$K$4+$K$5*3</f>
        <v>183600</v>
      </c>
      <c r="L46" s="196">
        <f t="shared" si="3"/>
        <v>221054.592</v>
      </c>
      <c r="M46" s="196">
        <f t="shared" si="2"/>
        <v>3000000</v>
      </c>
      <c r="N46" s="1"/>
      <c r="O46" s="1"/>
      <c r="P46" s="1"/>
      <c r="Q46" s="1"/>
      <c r="R46" s="1"/>
      <c r="S46" s="1"/>
      <c r="T46" s="1"/>
      <c r="U46" s="1"/>
      <c r="V46" s="1"/>
      <c r="W46" s="1"/>
      <c r="X46" s="1"/>
      <c r="Y46" s="1"/>
      <c r="Z46" s="1"/>
      <c r="AA46" s="1"/>
    </row>
    <row r="47" ht="15.75" customHeight="1">
      <c r="A47" s="1"/>
      <c r="B47" s="1"/>
      <c r="C47" s="1"/>
      <c r="D47" s="1"/>
      <c r="E47" s="1"/>
      <c r="F47" s="1"/>
      <c r="G47" s="1"/>
      <c r="H47" s="1"/>
      <c r="I47" s="1"/>
      <c r="J47" s="195">
        <f>$K$8+4</f>
        <v>2027</v>
      </c>
      <c r="K47" s="196">
        <f>$K$4+$K$5*4</f>
        <v>202800</v>
      </c>
      <c r="L47" s="196">
        <f t="shared" si="3"/>
        <v>257938.9594</v>
      </c>
      <c r="M47" s="196">
        <f t="shared" si="2"/>
        <v>3000000</v>
      </c>
      <c r="N47" s="1"/>
      <c r="O47" s="1"/>
      <c r="P47" s="1"/>
      <c r="Q47" s="1"/>
      <c r="R47" s="1"/>
      <c r="S47" s="1"/>
      <c r="T47" s="1"/>
      <c r="U47" s="1"/>
      <c r="V47" s="1"/>
      <c r="W47" s="1"/>
      <c r="X47" s="1"/>
      <c r="Y47" s="1"/>
      <c r="Z47" s="1"/>
      <c r="AA47" s="1"/>
    </row>
    <row r="48" ht="15.75" customHeight="1">
      <c r="A48" s="1"/>
      <c r="B48" s="1"/>
      <c r="C48" s="1"/>
      <c r="D48" s="1"/>
      <c r="E48" s="1"/>
      <c r="F48" s="1"/>
      <c r="G48" s="1"/>
      <c r="H48" s="1"/>
      <c r="I48" s="1"/>
      <c r="J48" s="195">
        <f>$K$8+5</f>
        <v>2028</v>
      </c>
      <c r="K48" s="196">
        <f>$K$4+$K$5*5</f>
        <v>222000</v>
      </c>
      <c r="L48" s="196">
        <f t="shared" si="3"/>
        <v>297774.0761</v>
      </c>
      <c r="M48" s="196">
        <f t="shared" si="2"/>
        <v>3000000</v>
      </c>
      <c r="N48" s="1"/>
      <c r="O48" s="1"/>
      <c r="P48" s="1"/>
      <c r="Q48" s="1"/>
      <c r="R48" s="1"/>
      <c r="S48" s="1"/>
      <c r="T48" s="1"/>
      <c r="U48" s="1"/>
      <c r="V48" s="1"/>
      <c r="W48" s="1"/>
      <c r="X48" s="1"/>
      <c r="Y48" s="1"/>
      <c r="Z48" s="1"/>
      <c r="AA48" s="1"/>
    </row>
    <row r="49" ht="15.75" customHeight="1">
      <c r="A49" s="1"/>
      <c r="B49" s="1"/>
      <c r="C49" s="1"/>
      <c r="D49" s="1"/>
      <c r="E49" s="1"/>
      <c r="F49" s="1"/>
      <c r="G49" s="1"/>
      <c r="H49" s="1"/>
      <c r="I49" s="1"/>
      <c r="J49" s="195">
        <f>$K$8+6</f>
        <v>2029</v>
      </c>
      <c r="K49" s="196">
        <f>$K$4+$K$5*6</f>
        <v>241200</v>
      </c>
      <c r="L49" s="196">
        <f t="shared" si="3"/>
        <v>340796.0022</v>
      </c>
      <c r="M49" s="196">
        <f t="shared" si="2"/>
        <v>3000000</v>
      </c>
      <c r="N49" s="1"/>
      <c r="O49" s="1"/>
      <c r="P49" s="1"/>
      <c r="Q49" s="1"/>
      <c r="R49" s="1"/>
      <c r="S49" s="1"/>
      <c r="T49" s="1"/>
      <c r="U49" s="1"/>
      <c r="V49" s="1"/>
      <c r="W49" s="1"/>
      <c r="X49" s="1"/>
      <c r="Y49" s="1"/>
      <c r="Z49" s="1"/>
      <c r="AA49" s="1"/>
    </row>
    <row r="50" ht="15.75" customHeight="1">
      <c r="A50" s="1"/>
      <c r="B50" s="1"/>
      <c r="C50" s="1"/>
      <c r="D50" s="1"/>
      <c r="E50" s="1"/>
      <c r="F50" s="1"/>
      <c r="G50" s="1"/>
      <c r="H50" s="1"/>
      <c r="I50" s="1"/>
      <c r="J50" s="195">
        <f>$K$8+7</f>
        <v>2030</v>
      </c>
      <c r="K50" s="196">
        <f>$K$4+$K$5*7</f>
        <v>260400</v>
      </c>
      <c r="L50" s="196">
        <f t="shared" si="3"/>
        <v>387259.6824</v>
      </c>
      <c r="M50" s="196">
        <f t="shared" si="2"/>
        <v>3000000</v>
      </c>
      <c r="N50" s="1"/>
      <c r="O50" s="1"/>
      <c r="P50" s="1"/>
      <c r="Q50" s="1"/>
      <c r="R50" s="1"/>
      <c r="S50" s="1"/>
      <c r="T50" s="1"/>
      <c r="U50" s="1"/>
      <c r="V50" s="1"/>
      <c r="W50" s="1"/>
      <c r="X50" s="1"/>
      <c r="Y50" s="1"/>
      <c r="Z50" s="1"/>
      <c r="AA50" s="1"/>
    </row>
    <row r="51" ht="15.75" customHeight="1">
      <c r="A51" s="1"/>
      <c r="B51" s="1"/>
      <c r="C51" s="1"/>
      <c r="D51" s="1"/>
      <c r="E51" s="1"/>
      <c r="F51" s="1"/>
      <c r="G51" s="1"/>
      <c r="H51" s="1"/>
      <c r="I51" s="1"/>
      <c r="J51" s="195">
        <f>$K$8+8</f>
        <v>2031</v>
      </c>
      <c r="K51" s="196">
        <f>$K$4+$K$5*8</f>
        <v>279600</v>
      </c>
      <c r="L51" s="196">
        <f t="shared" si="3"/>
        <v>437440.457</v>
      </c>
      <c r="M51" s="196">
        <f t="shared" si="2"/>
        <v>3000000</v>
      </c>
      <c r="N51" s="1"/>
      <c r="O51" s="1"/>
      <c r="P51" s="1"/>
      <c r="Q51" s="1"/>
      <c r="R51" s="1"/>
      <c r="S51" s="1"/>
      <c r="T51" s="1"/>
      <c r="U51" s="1"/>
      <c r="V51" s="1"/>
      <c r="W51" s="1"/>
      <c r="X51" s="1"/>
      <c r="Y51" s="1"/>
      <c r="Z51" s="1"/>
      <c r="AA51" s="1"/>
    </row>
    <row r="52" ht="15.75" customHeight="1">
      <c r="A52" s="1"/>
      <c r="B52" s="1"/>
      <c r="C52" s="1"/>
      <c r="D52" s="1"/>
      <c r="E52" s="1"/>
      <c r="F52" s="1"/>
      <c r="G52" s="1"/>
      <c r="H52" s="1"/>
      <c r="I52" s="1"/>
      <c r="J52" s="195">
        <f>$K$8+9</f>
        <v>2032</v>
      </c>
      <c r="K52" s="196">
        <f>$K$4+$K$5*9</f>
        <v>298800</v>
      </c>
      <c r="L52" s="196">
        <f t="shared" si="3"/>
        <v>491635.6935</v>
      </c>
      <c r="M52" s="196">
        <f t="shared" si="2"/>
        <v>3000000</v>
      </c>
      <c r="N52" s="1"/>
      <c r="O52" s="1"/>
      <c r="P52" s="1"/>
      <c r="Q52" s="1"/>
      <c r="R52" s="1"/>
      <c r="S52" s="1"/>
      <c r="T52" s="1"/>
      <c r="U52" s="1"/>
      <c r="V52" s="1"/>
      <c r="W52" s="1"/>
      <c r="X52" s="1"/>
      <c r="Y52" s="1"/>
      <c r="Z52" s="1"/>
      <c r="AA52" s="1"/>
    </row>
    <row r="53" ht="15.75" customHeight="1">
      <c r="A53" s="1"/>
      <c r="B53" s="1"/>
      <c r="C53" s="1"/>
      <c r="D53" s="1"/>
      <c r="E53" s="1"/>
      <c r="F53" s="1"/>
      <c r="G53" s="1"/>
      <c r="H53" s="1"/>
      <c r="I53" s="1"/>
      <c r="J53" s="195">
        <f>$K$8+10</f>
        <v>2033</v>
      </c>
      <c r="K53" s="196">
        <f>$K$4+$K$5*10</f>
        <v>318000</v>
      </c>
      <c r="L53" s="196">
        <f t="shared" si="3"/>
        <v>550166.549</v>
      </c>
      <c r="M53" s="196">
        <f t="shared" si="2"/>
        <v>3000000</v>
      </c>
      <c r="N53" s="1"/>
      <c r="O53" s="1"/>
      <c r="P53" s="1"/>
      <c r="Q53" s="1"/>
      <c r="R53" s="1"/>
      <c r="S53" s="1"/>
      <c r="T53" s="1"/>
      <c r="U53" s="1"/>
      <c r="V53" s="1"/>
      <c r="W53" s="1"/>
      <c r="X53" s="1"/>
      <c r="Y53" s="1"/>
      <c r="Z53" s="1"/>
      <c r="AA53" s="1"/>
    </row>
    <row r="54" ht="15.75" customHeight="1">
      <c r="A54" s="1"/>
      <c r="B54" s="1"/>
      <c r="C54" s="1"/>
      <c r="D54" s="1"/>
      <c r="E54" s="1"/>
      <c r="F54" s="1"/>
      <c r="G54" s="1"/>
      <c r="H54" s="1"/>
      <c r="I54" s="1"/>
      <c r="J54" s="195">
        <f>$K$8+11</f>
        <v>2034</v>
      </c>
      <c r="K54" s="196">
        <f>$K$4+$K$5*11</f>
        <v>337200</v>
      </c>
      <c r="L54" s="196">
        <f t="shared" si="3"/>
        <v>613379.8729</v>
      </c>
      <c r="M54" s="196">
        <f t="shared" si="2"/>
        <v>3000000</v>
      </c>
      <c r="N54" s="1"/>
      <c r="O54" s="1"/>
      <c r="P54" s="1"/>
      <c r="Q54" s="1"/>
      <c r="R54" s="1"/>
      <c r="S54" s="1"/>
      <c r="T54" s="1"/>
      <c r="U54" s="1"/>
      <c r="V54" s="1"/>
      <c r="W54" s="1"/>
      <c r="X54" s="1"/>
      <c r="Y54" s="1"/>
      <c r="Z54" s="1"/>
      <c r="AA54" s="1"/>
    </row>
    <row r="55" ht="15.75" customHeight="1">
      <c r="A55" s="1"/>
      <c r="B55" s="1"/>
      <c r="C55" s="1"/>
      <c r="D55" s="1"/>
      <c r="E55" s="1"/>
      <c r="F55" s="1"/>
      <c r="G55" s="1"/>
      <c r="H55" s="1"/>
      <c r="I55" s="1"/>
      <c r="J55" s="195">
        <f>$K$8+12</f>
        <v>2035</v>
      </c>
      <c r="K55" s="196">
        <f>$K$4+$K$5*12</f>
        <v>356400</v>
      </c>
      <c r="L55" s="196">
        <f t="shared" si="3"/>
        <v>681650.2628</v>
      </c>
      <c r="M55" s="196">
        <f t="shared" si="2"/>
        <v>3000000</v>
      </c>
      <c r="N55" s="1"/>
      <c r="O55" s="1"/>
      <c r="P55" s="1"/>
      <c r="Q55" s="1"/>
      <c r="R55" s="1"/>
      <c r="S55" s="1"/>
      <c r="T55" s="1"/>
      <c r="U55" s="1"/>
      <c r="V55" s="1"/>
      <c r="W55" s="1"/>
      <c r="X55" s="1"/>
      <c r="Y55" s="1"/>
      <c r="Z55" s="1"/>
      <c r="AA55" s="1"/>
    </row>
    <row r="56" ht="15.75" customHeight="1">
      <c r="A56" s="1"/>
      <c r="B56" s="1"/>
      <c r="C56" s="1"/>
      <c r="D56" s="1"/>
      <c r="E56" s="1"/>
      <c r="F56" s="1"/>
      <c r="G56" s="1"/>
      <c r="H56" s="1"/>
      <c r="I56" s="1"/>
      <c r="J56" s="195">
        <f>$K$8+13</f>
        <v>2036</v>
      </c>
      <c r="K56" s="196">
        <f>$K$4+$K$5*13</f>
        <v>375600</v>
      </c>
      <c r="L56" s="196">
        <f t="shared" si="3"/>
        <v>755382.2838</v>
      </c>
      <c r="M56" s="196">
        <f t="shared" si="2"/>
        <v>3000000</v>
      </c>
      <c r="N56" s="1"/>
      <c r="O56" s="1"/>
      <c r="P56" s="1"/>
      <c r="Q56" s="1"/>
      <c r="R56" s="1"/>
      <c r="S56" s="1"/>
      <c r="T56" s="1"/>
      <c r="U56" s="1"/>
      <c r="V56" s="1"/>
      <c r="W56" s="1"/>
      <c r="X56" s="1"/>
      <c r="Y56" s="1"/>
      <c r="Z56" s="1"/>
      <c r="AA56" s="1"/>
    </row>
    <row r="57" ht="15.75" customHeight="1">
      <c r="A57" s="1"/>
      <c r="B57" s="1"/>
      <c r="C57" s="1"/>
      <c r="D57" s="1"/>
      <c r="E57" s="1"/>
      <c r="F57" s="1"/>
      <c r="G57" s="1"/>
      <c r="H57" s="1"/>
      <c r="I57" s="1"/>
      <c r="J57" s="195">
        <f>$K$8+14</f>
        <v>2037</v>
      </c>
      <c r="K57" s="196">
        <f>$K$4+$K$5*14</f>
        <v>394800</v>
      </c>
      <c r="L57" s="196">
        <f t="shared" si="3"/>
        <v>835012.8665</v>
      </c>
      <c r="M57" s="196">
        <f t="shared" si="2"/>
        <v>3000000</v>
      </c>
      <c r="N57" s="1"/>
      <c r="O57" s="1"/>
      <c r="P57" s="1"/>
      <c r="Q57" s="1"/>
      <c r="R57" s="1"/>
      <c r="S57" s="1"/>
      <c r="T57" s="1"/>
      <c r="U57" s="1"/>
      <c r="V57" s="1"/>
      <c r="W57" s="1"/>
      <c r="X57" s="1"/>
      <c r="Y57" s="1"/>
      <c r="Z57" s="1"/>
      <c r="AA57" s="1"/>
    </row>
    <row r="58" ht="15.75" customHeight="1">
      <c r="A58" s="1"/>
      <c r="B58" s="1"/>
      <c r="C58" s="1"/>
      <c r="D58" s="1"/>
      <c r="E58" s="1"/>
      <c r="F58" s="1"/>
      <c r="G58" s="1"/>
      <c r="H58" s="1"/>
      <c r="I58" s="1"/>
      <c r="J58" s="195">
        <f>$K$8+15</f>
        <v>2038</v>
      </c>
      <c r="K58" s="196">
        <f>$K$4+$K$5*15</f>
        <v>414000</v>
      </c>
      <c r="L58" s="196">
        <f t="shared" si="3"/>
        <v>921013.8958</v>
      </c>
      <c r="M58" s="196">
        <f t="shared" si="2"/>
        <v>3000000</v>
      </c>
      <c r="N58" s="1"/>
      <c r="O58" s="1"/>
      <c r="P58" s="1"/>
      <c r="Q58" s="1"/>
      <c r="R58" s="1"/>
      <c r="S58" s="1"/>
      <c r="T58" s="1"/>
      <c r="U58" s="1"/>
      <c r="V58" s="1"/>
      <c r="W58" s="1"/>
      <c r="X58" s="1"/>
      <c r="Y58" s="1"/>
      <c r="Z58" s="1"/>
      <c r="AA58" s="1"/>
    </row>
    <row r="59" ht="15.75" customHeight="1">
      <c r="A59" s="1"/>
      <c r="B59" s="1"/>
      <c r="C59" s="1"/>
      <c r="D59" s="1"/>
      <c r="E59" s="1"/>
      <c r="F59" s="1"/>
      <c r="G59" s="1"/>
      <c r="H59" s="1"/>
      <c r="I59" s="1"/>
      <c r="J59" s="195">
        <f>$K$8+16</f>
        <v>2039</v>
      </c>
      <c r="K59" s="196">
        <f>$K$4+$K$5*16</f>
        <v>433200</v>
      </c>
      <c r="L59" s="196">
        <f t="shared" si="3"/>
        <v>1013895.007</v>
      </c>
      <c r="M59" s="196">
        <f t="shared" si="2"/>
        <v>3000000</v>
      </c>
      <c r="N59" s="1"/>
      <c r="O59" s="1"/>
      <c r="P59" s="1"/>
      <c r="Q59" s="1"/>
      <c r="R59" s="1"/>
      <c r="S59" s="1"/>
      <c r="T59" s="1"/>
      <c r="U59" s="1"/>
      <c r="V59" s="1"/>
      <c r="W59" s="1"/>
      <c r="X59" s="1"/>
      <c r="Y59" s="1"/>
      <c r="Z59" s="1"/>
      <c r="AA59" s="1"/>
    </row>
    <row r="60" ht="15.75" customHeight="1">
      <c r="A60" s="1"/>
      <c r="B60" s="1"/>
      <c r="C60" s="1"/>
      <c r="D60" s="1"/>
      <c r="E60" s="1"/>
      <c r="F60" s="1"/>
      <c r="G60" s="1"/>
      <c r="H60" s="1"/>
      <c r="I60" s="1"/>
      <c r="J60" s="195">
        <f>$K$8+17</f>
        <v>2040</v>
      </c>
      <c r="K60" s="196">
        <f>$K$4+$K$5*17</f>
        <v>452400</v>
      </c>
      <c r="L60" s="196">
        <f t="shared" si="3"/>
        <v>1114206.608</v>
      </c>
      <c r="M60" s="196">
        <f t="shared" si="2"/>
        <v>3000000</v>
      </c>
      <c r="N60" s="1"/>
      <c r="O60" s="1"/>
      <c r="P60" s="1"/>
      <c r="Q60" s="1"/>
      <c r="R60" s="1"/>
      <c r="S60" s="1"/>
      <c r="T60" s="1"/>
      <c r="U60" s="1"/>
      <c r="V60" s="1"/>
      <c r="W60" s="1"/>
      <c r="X60" s="1"/>
      <c r="Y60" s="1"/>
      <c r="Z60" s="1"/>
      <c r="AA60" s="1"/>
    </row>
    <row r="61" ht="15.75" customHeight="1">
      <c r="A61" s="1"/>
      <c r="B61" s="1"/>
      <c r="C61" s="1"/>
      <c r="D61" s="1"/>
      <c r="E61" s="1"/>
      <c r="F61" s="1"/>
      <c r="G61" s="1"/>
      <c r="H61" s="1"/>
      <c r="I61" s="1"/>
      <c r="J61" s="195">
        <f>$K$8+18</f>
        <v>2041</v>
      </c>
      <c r="K61" s="196">
        <f>$K$4+$K$5*18</f>
        <v>471600</v>
      </c>
      <c r="L61" s="196">
        <f t="shared" si="3"/>
        <v>1222543.137</v>
      </c>
      <c r="M61" s="196">
        <f t="shared" si="2"/>
        <v>3000000</v>
      </c>
      <c r="N61" s="1"/>
      <c r="O61" s="1"/>
      <c r="P61" s="1"/>
      <c r="Q61" s="1"/>
      <c r="R61" s="1"/>
      <c r="S61" s="1"/>
      <c r="T61" s="1"/>
      <c r="U61" s="1"/>
      <c r="V61" s="1"/>
      <c r="W61" s="1"/>
      <c r="X61" s="1"/>
      <c r="Y61" s="1"/>
      <c r="Z61" s="1"/>
      <c r="AA61" s="1"/>
    </row>
    <row r="62" ht="15.75" customHeight="1">
      <c r="A62" s="1"/>
      <c r="B62" s="1"/>
      <c r="C62" s="1"/>
      <c r="D62" s="1"/>
      <c r="E62" s="1"/>
      <c r="F62" s="1"/>
      <c r="G62" s="1"/>
      <c r="H62" s="1"/>
      <c r="I62" s="1"/>
      <c r="J62" s="195">
        <f>$K$8+19</f>
        <v>2042</v>
      </c>
      <c r="K62" s="196">
        <f>$K$4+$K$5*19</f>
        <v>490800</v>
      </c>
      <c r="L62" s="196">
        <f t="shared" si="3"/>
        <v>1339546.588</v>
      </c>
      <c r="M62" s="196">
        <f t="shared" si="2"/>
        <v>3000000</v>
      </c>
      <c r="N62" s="1"/>
      <c r="O62" s="1"/>
      <c r="P62" s="1"/>
      <c r="Q62" s="1"/>
      <c r="R62" s="1"/>
      <c r="S62" s="1"/>
      <c r="T62" s="1"/>
      <c r="U62" s="1"/>
      <c r="V62" s="1"/>
      <c r="W62" s="1"/>
      <c r="X62" s="1"/>
      <c r="Y62" s="1"/>
      <c r="Z62" s="1"/>
      <c r="AA62" s="1"/>
    </row>
    <row r="63" ht="15.75" customHeight="1">
      <c r="A63" s="1"/>
      <c r="B63" s="1"/>
      <c r="C63" s="1"/>
      <c r="D63" s="1"/>
      <c r="E63" s="1"/>
      <c r="F63" s="1"/>
      <c r="G63" s="1"/>
      <c r="H63" s="1"/>
      <c r="I63" s="1"/>
      <c r="J63" s="195">
        <f>$K$8+20</f>
        <v>2043</v>
      </c>
      <c r="K63" s="196">
        <f>$K$4+$K$5*20</f>
        <v>510000</v>
      </c>
      <c r="L63" s="196">
        <f t="shared" si="3"/>
        <v>1465910.315</v>
      </c>
      <c r="M63" s="196">
        <f t="shared" si="2"/>
        <v>3000000</v>
      </c>
      <c r="N63" s="1"/>
      <c r="O63" s="1"/>
      <c r="P63" s="1"/>
      <c r="Q63" s="1"/>
      <c r="R63" s="1"/>
      <c r="S63" s="1"/>
      <c r="T63" s="1"/>
      <c r="U63" s="1"/>
      <c r="V63" s="1"/>
      <c r="W63" s="1"/>
      <c r="X63" s="1"/>
      <c r="Y63" s="1"/>
      <c r="Z63" s="1"/>
      <c r="AA63" s="1"/>
    </row>
    <row r="64" ht="15.75" customHeight="1">
      <c r="A64" s="1"/>
      <c r="B64" s="1"/>
      <c r="C64" s="1"/>
      <c r="D64" s="1"/>
      <c r="E64" s="1"/>
      <c r="F64" s="1"/>
      <c r="G64" s="1"/>
      <c r="H64" s="1"/>
      <c r="I64" s="1"/>
      <c r="J64" s="195">
        <f>$K$8+21</f>
        <v>2044</v>
      </c>
      <c r="K64" s="196">
        <f>$K$4+$K$5*21</f>
        <v>529200</v>
      </c>
      <c r="L64" s="196">
        <f t="shared" si="3"/>
        <v>1602383.14</v>
      </c>
      <c r="M64" s="196">
        <f t="shared" si="2"/>
        <v>3000000</v>
      </c>
      <c r="N64" s="1"/>
      <c r="O64" s="1"/>
      <c r="P64" s="1"/>
      <c r="Q64" s="1"/>
      <c r="R64" s="1"/>
      <c r="S64" s="1"/>
      <c r="T64" s="1"/>
      <c r="U64" s="1"/>
      <c r="V64" s="1"/>
      <c r="W64" s="1"/>
      <c r="X64" s="1"/>
      <c r="Y64" s="1"/>
      <c r="Z64" s="1"/>
      <c r="AA64" s="1"/>
    </row>
    <row r="65" ht="15.75" customHeight="1">
      <c r="A65" s="1"/>
      <c r="B65" s="1"/>
      <c r="C65" s="1"/>
      <c r="D65" s="1"/>
      <c r="E65" s="1"/>
      <c r="F65" s="1"/>
      <c r="G65" s="1"/>
      <c r="H65" s="1"/>
      <c r="I65" s="1"/>
      <c r="J65" s="195">
        <f>$K$8+22</f>
        <v>2045</v>
      </c>
      <c r="K65" s="196">
        <f>$K$4+$K$5*22</f>
        <v>548400</v>
      </c>
      <c r="L65" s="196">
        <f t="shared" si="3"/>
        <v>1749773.791</v>
      </c>
      <c r="M65" s="196">
        <f t="shared" si="2"/>
        <v>3000000</v>
      </c>
      <c r="N65" s="1"/>
      <c r="O65" s="1"/>
      <c r="P65" s="1"/>
      <c r="Q65" s="1"/>
      <c r="R65" s="1"/>
      <c r="S65" s="1"/>
      <c r="T65" s="1"/>
      <c r="U65" s="1"/>
      <c r="V65" s="1"/>
      <c r="W65" s="1"/>
      <c r="X65" s="1"/>
      <c r="Y65" s="1"/>
      <c r="Z65" s="1"/>
      <c r="AA65" s="1"/>
    </row>
    <row r="66" ht="15.75" customHeight="1">
      <c r="A66" s="1"/>
      <c r="B66" s="1"/>
      <c r="C66" s="1"/>
      <c r="D66" s="1"/>
      <c r="E66" s="1"/>
      <c r="F66" s="1"/>
      <c r="G66" s="1"/>
      <c r="H66" s="1"/>
      <c r="I66" s="1"/>
      <c r="J66" s="195">
        <f>$K$8+23</f>
        <v>2046</v>
      </c>
      <c r="K66" s="196">
        <f>$K$4+$K$5*23</f>
        <v>567600</v>
      </c>
      <c r="L66" s="196">
        <f t="shared" si="3"/>
        <v>1908955.694</v>
      </c>
      <c r="M66" s="196">
        <f t="shared" si="2"/>
        <v>3000000</v>
      </c>
      <c r="N66" s="1"/>
      <c r="O66" s="1"/>
      <c r="P66" s="1"/>
      <c r="Q66" s="1"/>
      <c r="R66" s="1"/>
      <c r="S66" s="1"/>
      <c r="T66" s="1"/>
      <c r="U66" s="1"/>
      <c r="V66" s="1"/>
      <c r="W66" s="1"/>
      <c r="X66" s="1"/>
      <c r="Y66" s="1"/>
      <c r="Z66" s="1"/>
      <c r="AA66" s="1"/>
    </row>
    <row r="67" ht="15.75" customHeight="1">
      <c r="A67" s="1"/>
      <c r="B67" s="1"/>
      <c r="C67" s="1"/>
      <c r="D67" s="1"/>
      <c r="E67" s="1"/>
      <c r="F67" s="1"/>
      <c r="G67" s="1"/>
      <c r="H67" s="1"/>
      <c r="I67" s="1"/>
      <c r="J67" s="195">
        <f>$K$8+24</f>
        <v>2047</v>
      </c>
      <c r="K67" s="196">
        <f>$K$4+$K$5*24</f>
        <v>586800</v>
      </c>
      <c r="L67" s="196">
        <f t="shared" si="3"/>
        <v>2080872.15</v>
      </c>
      <c r="M67" s="196">
        <f t="shared" si="2"/>
        <v>3000000</v>
      </c>
      <c r="N67" s="1"/>
      <c r="O67" s="1"/>
      <c r="P67" s="1"/>
      <c r="Q67" s="1"/>
      <c r="R67" s="1"/>
      <c r="S67" s="1"/>
      <c r="T67" s="1"/>
      <c r="U67" s="1"/>
      <c r="V67" s="1"/>
      <c r="W67" s="1"/>
      <c r="X67" s="1"/>
      <c r="Y67" s="1"/>
      <c r="Z67" s="1"/>
      <c r="AA67" s="1"/>
    </row>
    <row r="68" ht="15.75" customHeight="1">
      <c r="A68" s="1"/>
      <c r="B68" s="1"/>
      <c r="C68" s="1"/>
      <c r="D68" s="1"/>
      <c r="E68" s="1"/>
      <c r="F68" s="1"/>
      <c r="G68" s="1"/>
      <c r="H68" s="1"/>
      <c r="I68" s="1"/>
      <c r="J68" s="195">
        <f>$K$8+25</f>
        <v>2048</v>
      </c>
      <c r="K68" s="196">
        <f>$K$4+$K$5*25</f>
        <v>606000</v>
      </c>
      <c r="L68" s="196">
        <f t="shared" si="3"/>
        <v>2266541.922</v>
      </c>
      <c r="M68" s="196">
        <f t="shared" si="2"/>
        <v>3000000</v>
      </c>
      <c r="N68" s="1"/>
      <c r="O68" s="1"/>
      <c r="P68" s="1"/>
      <c r="Q68" s="1"/>
      <c r="R68" s="1"/>
      <c r="S68" s="1"/>
      <c r="T68" s="1"/>
      <c r="U68" s="1"/>
      <c r="V68" s="1"/>
      <c r="W68" s="1"/>
      <c r="X68" s="1"/>
      <c r="Y68" s="1"/>
      <c r="Z68" s="1"/>
      <c r="AA68" s="1"/>
    </row>
    <row r="69" ht="15.75" customHeight="1">
      <c r="A69" s="1"/>
      <c r="B69" s="1"/>
      <c r="C69" s="1"/>
      <c r="D69" s="1"/>
      <c r="E69" s="1"/>
      <c r="F69" s="1"/>
      <c r="G69" s="1"/>
      <c r="H69" s="1"/>
      <c r="I69" s="1"/>
      <c r="J69" s="195">
        <f>$K$8+26</f>
        <v>2049</v>
      </c>
      <c r="K69" s="196">
        <f>$K$4+$K$5*26</f>
        <v>625200</v>
      </c>
      <c r="L69" s="196">
        <f t="shared" si="3"/>
        <v>2467065.276</v>
      </c>
      <c r="M69" s="196">
        <f t="shared" si="2"/>
        <v>3000000</v>
      </c>
      <c r="N69" s="1"/>
      <c r="O69" s="1"/>
      <c r="P69" s="1"/>
      <c r="Q69" s="1"/>
      <c r="R69" s="1"/>
      <c r="S69" s="1"/>
      <c r="T69" s="1"/>
      <c r="U69" s="1"/>
      <c r="V69" s="1"/>
      <c r="W69" s="1"/>
      <c r="X69" s="1"/>
      <c r="Y69" s="1"/>
      <c r="Z69" s="1"/>
      <c r="AA69" s="1"/>
    </row>
    <row r="70" ht="15.75" customHeight="1">
      <c r="A70" s="1"/>
      <c r="B70" s="1"/>
      <c r="C70" s="1"/>
      <c r="D70" s="1"/>
      <c r="E70" s="1"/>
      <c r="F70" s="1"/>
      <c r="G70" s="1"/>
      <c r="H70" s="1"/>
      <c r="I70" s="1"/>
      <c r="J70" s="195">
        <f>$K$8+27</f>
        <v>2050</v>
      </c>
      <c r="K70" s="196">
        <f>$K$4+$K$5*27</f>
        <v>644400</v>
      </c>
      <c r="L70" s="196">
        <f t="shared" si="3"/>
        <v>2683630.498</v>
      </c>
      <c r="M70" s="196">
        <f t="shared" si="2"/>
        <v>3000000</v>
      </c>
      <c r="N70" s="1"/>
      <c r="O70" s="1"/>
      <c r="P70" s="1"/>
      <c r="Q70" s="1"/>
      <c r="R70" s="1"/>
      <c r="S70" s="1"/>
      <c r="T70" s="1"/>
      <c r="U70" s="1"/>
      <c r="V70" s="1"/>
      <c r="W70" s="1"/>
      <c r="X70" s="1"/>
      <c r="Y70" s="1"/>
      <c r="Z70" s="1"/>
      <c r="AA70" s="1"/>
    </row>
    <row r="71" ht="15.75" customHeight="1">
      <c r="A71" s="1"/>
      <c r="B71" s="1"/>
      <c r="C71" s="1"/>
      <c r="D71" s="1"/>
      <c r="E71" s="1"/>
      <c r="F71" s="1"/>
      <c r="G71" s="1"/>
      <c r="H71" s="1"/>
      <c r="I71" s="1"/>
      <c r="J71" s="195">
        <f>$K$8+28</f>
        <v>2051</v>
      </c>
      <c r="K71" s="196">
        <f>$K$4+$K$5*28</f>
        <v>663600</v>
      </c>
      <c r="L71" s="196">
        <f t="shared" si="3"/>
        <v>2917520.937</v>
      </c>
      <c r="M71" s="196">
        <f t="shared" si="2"/>
        <v>3000000</v>
      </c>
      <c r="N71" s="1"/>
      <c r="O71" s="1"/>
      <c r="P71" s="1"/>
      <c r="Q71" s="1"/>
      <c r="R71" s="1"/>
      <c r="S71" s="1"/>
      <c r="T71" s="1"/>
      <c r="U71" s="1"/>
      <c r="V71" s="1"/>
      <c r="W71" s="1"/>
      <c r="X71" s="1"/>
      <c r="Y71" s="1"/>
      <c r="Z71" s="1"/>
      <c r="AA71" s="1"/>
    </row>
    <row r="72" ht="15.75" customHeight="1">
      <c r="A72" s="1"/>
      <c r="B72" s="1"/>
      <c r="C72" s="1"/>
      <c r="D72" s="1"/>
      <c r="E72" s="1"/>
      <c r="F72" s="1"/>
      <c r="G72" s="1"/>
      <c r="H72" s="1"/>
      <c r="I72" s="1"/>
      <c r="J72" s="195">
        <f>$K$8+29</f>
        <v>2052</v>
      </c>
      <c r="K72" s="196">
        <f>$K$4+$K$5*29</f>
        <v>682800</v>
      </c>
      <c r="L72" s="196">
        <f t="shared" si="3"/>
        <v>3170122.612</v>
      </c>
      <c r="M72" s="196">
        <f t="shared" si="2"/>
        <v>3000000</v>
      </c>
      <c r="N72" s="1"/>
      <c r="O72" s="1"/>
      <c r="P72" s="1"/>
      <c r="Q72" s="1"/>
      <c r="R72" s="1"/>
      <c r="S72" s="1"/>
      <c r="T72" s="1"/>
      <c r="U72" s="1"/>
      <c r="V72" s="1"/>
      <c r="W72" s="1"/>
      <c r="X72" s="1"/>
      <c r="Y72" s="1"/>
      <c r="Z72" s="1"/>
      <c r="AA72" s="1"/>
    </row>
    <row r="73" ht="15.75" customHeight="1">
      <c r="A73" s="1"/>
      <c r="B73" s="1"/>
      <c r="C73" s="1"/>
      <c r="D73" s="1"/>
      <c r="E73" s="1"/>
      <c r="F73" s="1"/>
      <c r="G73" s="1"/>
      <c r="H73" s="1"/>
      <c r="I73" s="1"/>
      <c r="J73" s="195">
        <f>$K$8+30</f>
        <v>2053</v>
      </c>
      <c r="K73" s="196">
        <f>$K$4+$K$5*30</f>
        <v>702000</v>
      </c>
      <c r="L73" s="196">
        <f t="shared" si="3"/>
        <v>3442932.421</v>
      </c>
      <c r="M73" s="196">
        <f t="shared" si="2"/>
        <v>3000000</v>
      </c>
      <c r="N73" s="1"/>
      <c r="O73" s="1"/>
      <c r="P73" s="1"/>
      <c r="Q73" s="1"/>
      <c r="R73" s="1"/>
      <c r="S73" s="1"/>
      <c r="T73" s="1"/>
      <c r="U73" s="1"/>
      <c r="V73" s="1"/>
      <c r="W73" s="1"/>
      <c r="X73" s="1"/>
      <c r="Y73" s="1"/>
      <c r="Z73" s="1"/>
      <c r="AA73" s="1"/>
    </row>
    <row r="74" ht="15.75" customHeight="1">
      <c r="A74" s="1"/>
      <c r="B74" s="1"/>
      <c r="C74" s="1"/>
      <c r="D74" s="1"/>
      <c r="E74" s="1"/>
      <c r="F74" s="1"/>
      <c r="G74" s="1"/>
      <c r="H74" s="1"/>
      <c r="I74" s="1"/>
      <c r="J74" s="195">
        <f>$K$8+31</f>
        <v>2054</v>
      </c>
      <c r="K74" s="196">
        <f>$K$4+$K$5*31</f>
        <v>721200</v>
      </c>
      <c r="L74" s="196">
        <f t="shared" si="3"/>
        <v>3737567.015</v>
      </c>
      <c r="M74" s="196">
        <f t="shared" si="2"/>
        <v>3000000</v>
      </c>
      <c r="N74" s="1"/>
      <c r="O74" s="1"/>
      <c r="P74" s="1"/>
      <c r="Q74" s="1"/>
      <c r="R74" s="1"/>
      <c r="S74" s="1"/>
      <c r="T74" s="1"/>
      <c r="U74" s="1"/>
      <c r="V74" s="1"/>
      <c r="W74" s="1"/>
      <c r="X74" s="1"/>
      <c r="Y74" s="1"/>
      <c r="Z74" s="1"/>
      <c r="AA74" s="1"/>
    </row>
    <row r="75" ht="15.75" customHeight="1">
      <c r="A75" s="1"/>
      <c r="B75" s="1"/>
      <c r="C75" s="1"/>
      <c r="D75" s="1"/>
      <c r="E75" s="1"/>
      <c r="F75" s="1"/>
      <c r="G75" s="1"/>
      <c r="H75" s="1"/>
      <c r="I75" s="1"/>
      <c r="J75" s="195">
        <f>$K$8+32</f>
        <v>2055</v>
      </c>
      <c r="K75" s="196">
        <f>$K$4+$K$5*32</f>
        <v>740400</v>
      </c>
      <c r="L75" s="196">
        <f t="shared" si="3"/>
        <v>4055772.376</v>
      </c>
      <c r="M75" s="196">
        <f t="shared" si="2"/>
        <v>3000000</v>
      </c>
      <c r="N75" s="1"/>
      <c r="O75" s="1"/>
      <c r="P75" s="1"/>
      <c r="Q75" s="1"/>
      <c r="R75" s="1"/>
      <c r="S75" s="1"/>
      <c r="T75" s="1"/>
      <c r="U75" s="1"/>
      <c r="V75" s="1"/>
      <c r="W75" s="1"/>
      <c r="X75" s="1"/>
      <c r="Y75" s="1"/>
      <c r="Z75" s="1"/>
      <c r="AA75" s="1"/>
    </row>
    <row r="76" ht="15.75" customHeight="1">
      <c r="A76" s="1"/>
      <c r="B76" s="1"/>
      <c r="C76" s="1"/>
      <c r="D76" s="1"/>
      <c r="E76" s="1"/>
      <c r="F76" s="1"/>
      <c r="G76" s="1"/>
      <c r="H76" s="1"/>
      <c r="I76" s="1"/>
      <c r="J76" s="195">
        <f>$K$8+33</f>
        <v>2056</v>
      </c>
      <c r="K76" s="196">
        <f>$K$4+$K$5*33</f>
        <v>759600</v>
      </c>
      <c r="L76" s="196">
        <f t="shared" si="3"/>
        <v>4399434.166</v>
      </c>
      <c r="M76" s="196">
        <f t="shared" si="2"/>
        <v>3000000</v>
      </c>
      <c r="N76" s="1"/>
      <c r="O76" s="1"/>
      <c r="P76" s="1"/>
      <c r="Q76" s="1"/>
      <c r="R76" s="1"/>
      <c r="S76" s="1"/>
      <c r="T76" s="1"/>
      <c r="U76" s="1"/>
      <c r="V76" s="1"/>
      <c r="W76" s="1"/>
      <c r="X76" s="1"/>
      <c r="Y76" s="1"/>
      <c r="Z76" s="1"/>
      <c r="AA76" s="1"/>
    </row>
    <row r="77" ht="15.75" customHeight="1">
      <c r="A77" s="1"/>
      <c r="B77" s="1"/>
      <c r="C77" s="1"/>
      <c r="D77" s="1"/>
      <c r="E77" s="1"/>
      <c r="F77" s="1"/>
      <c r="G77" s="1"/>
      <c r="H77" s="1"/>
      <c r="I77" s="1"/>
      <c r="J77" s="195">
        <f>$K$8+34</f>
        <v>2057</v>
      </c>
      <c r="K77" s="196">
        <f>$K$4+$K$5*34</f>
        <v>778800</v>
      </c>
      <c r="L77" s="196">
        <f t="shared" si="3"/>
        <v>4770588.9</v>
      </c>
      <c r="M77" s="196">
        <f t="shared" si="2"/>
        <v>3000000</v>
      </c>
      <c r="N77" s="1"/>
      <c r="O77" s="1"/>
      <c r="P77" s="1"/>
      <c r="Q77" s="1"/>
      <c r="R77" s="1"/>
      <c r="S77" s="1"/>
      <c r="T77" s="1"/>
      <c r="U77" s="1"/>
      <c r="V77" s="1"/>
      <c r="W77" s="1"/>
      <c r="X77" s="1"/>
      <c r="Y77" s="1"/>
      <c r="Z77" s="1"/>
      <c r="AA77" s="1"/>
    </row>
    <row r="78" ht="15.75" customHeight="1">
      <c r="A78" s="1"/>
      <c r="B78" s="1"/>
      <c r="C78" s="1"/>
      <c r="D78" s="1"/>
      <c r="E78" s="1"/>
      <c r="F78" s="1"/>
      <c r="G78" s="1"/>
      <c r="H78" s="1"/>
      <c r="I78" s="1"/>
      <c r="J78" s="195">
        <f>$K$8+35</f>
        <v>2058</v>
      </c>
      <c r="K78" s="196">
        <f>$K$4+$K$5*35</f>
        <v>798000</v>
      </c>
      <c r="L78" s="196">
        <f t="shared" si="3"/>
        <v>5171436.012</v>
      </c>
      <c r="M78" s="196">
        <f t="shared" si="2"/>
        <v>3000000</v>
      </c>
      <c r="N78" s="1"/>
      <c r="O78" s="1"/>
      <c r="P78" s="1"/>
      <c r="Q78" s="1"/>
      <c r="R78" s="1"/>
      <c r="S78" s="1"/>
      <c r="T78" s="1"/>
      <c r="U78" s="1"/>
      <c r="V78" s="1"/>
      <c r="W78" s="1"/>
      <c r="X78" s="1"/>
      <c r="Y78" s="1"/>
      <c r="Z78" s="1"/>
      <c r="AA78" s="1"/>
    </row>
    <row r="79" ht="15.75" customHeight="1">
      <c r="A79" s="1"/>
      <c r="B79" s="1"/>
      <c r="C79" s="1"/>
      <c r="D79" s="1"/>
      <c r="E79" s="1"/>
      <c r="F79" s="1"/>
      <c r="G79" s="1"/>
      <c r="H79" s="1"/>
      <c r="I79" s="1"/>
      <c r="J79" s="195">
        <f>$K$8+36</f>
        <v>2059</v>
      </c>
      <c r="K79" s="196">
        <f>$K$4+$K$5*36</f>
        <v>817200</v>
      </c>
      <c r="L79" s="196">
        <f t="shared" si="3"/>
        <v>5604350.893</v>
      </c>
      <c r="M79" s="196">
        <f t="shared" si="2"/>
        <v>3000000</v>
      </c>
      <c r="N79" s="1"/>
      <c r="O79" s="1"/>
      <c r="P79" s="1"/>
      <c r="Q79" s="1"/>
      <c r="R79" s="1"/>
      <c r="S79" s="1"/>
      <c r="T79" s="1"/>
      <c r="U79" s="1"/>
      <c r="V79" s="1"/>
      <c r="W79" s="1"/>
      <c r="X79" s="1"/>
      <c r="Y79" s="1"/>
      <c r="Z79" s="1"/>
      <c r="AA79" s="1"/>
    </row>
    <row r="80" ht="15.75" customHeight="1">
      <c r="A80" s="1"/>
      <c r="B80" s="1"/>
      <c r="C80" s="1"/>
      <c r="D80" s="1"/>
      <c r="E80" s="1"/>
      <c r="F80" s="1"/>
      <c r="G80" s="1"/>
      <c r="H80" s="1"/>
      <c r="I80" s="1"/>
      <c r="J80" s="195">
        <f>$K$8+37</f>
        <v>2060</v>
      </c>
      <c r="K80" s="196">
        <f>$K$4+$K$5*37</f>
        <v>836400</v>
      </c>
      <c r="L80" s="196">
        <f t="shared" si="3"/>
        <v>6071898.964</v>
      </c>
      <c r="M80" s="196">
        <f t="shared" si="2"/>
        <v>3000000</v>
      </c>
      <c r="N80" s="1"/>
      <c r="O80" s="1"/>
      <c r="P80" s="1"/>
      <c r="Q80" s="1"/>
      <c r="R80" s="1"/>
      <c r="S80" s="1"/>
      <c r="T80" s="1"/>
      <c r="U80" s="1"/>
      <c r="V80" s="1"/>
      <c r="W80" s="1"/>
      <c r="X80" s="1"/>
      <c r="Y80" s="1"/>
      <c r="Z80" s="1"/>
      <c r="AA80" s="1"/>
    </row>
    <row r="81" ht="15.75" customHeight="1">
      <c r="A81" s="1"/>
      <c r="B81" s="1"/>
      <c r="C81" s="1"/>
      <c r="D81" s="1"/>
      <c r="E81" s="1"/>
      <c r="F81" s="1"/>
      <c r="G81" s="1"/>
      <c r="H81" s="1"/>
      <c r="I81" s="1"/>
      <c r="J81" s="195">
        <f>$K$8+38</f>
        <v>2061</v>
      </c>
      <c r="K81" s="196">
        <f>$K$4+$K$5*38</f>
        <v>855600</v>
      </c>
      <c r="L81" s="196">
        <f t="shared" si="3"/>
        <v>6576850.881</v>
      </c>
      <c r="M81" s="196">
        <f t="shared" si="2"/>
        <v>3000000</v>
      </c>
      <c r="N81" s="1"/>
      <c r="O81" s="1"/>
      <c r="P81" s="1"/>
      <c r="Q81" s="1"/>
      <c r="R81" s="1"/>
      <c r="S81" s="1"/>
      <c r="T81" s="1"/>
      <c r="U81" s="1"/>
      <c r="V81" s="1"/>
      <c r="W81" s="1"/>
      <c r="X81" s="1"/>
      <c r="Y81" s="1"/>
      <c r="Z81" s="1"/>
      <c r="AA81" s="1"/>
    </row>
    <row r="82" ht="15.75" customHeight="1">
      <c r="A82" s="1"/>
      <c r="B82" s="1"/>
      <c r="C82" s="1"/>
      <c r="D82" s="1"/>
      <c r="E82" s="1"/>
      <c r="F82" s="1"/>
      <c r="G82" s="1"/>
      <c r="H82" s="1"/>
      <c r="I82" s="1"/>
      <c r="J82" s="195">
        <f>$K$8+39</f>
        <v>2062</v>
      </c>
      <c r="K82" s="196">
        <f>$K$4+$K$5*39</f>
        <v>874800</v>
      </c>
      <c r="L82" s="196">
        <f t="shared" si="3"/>
        <v>7122198.952</v>
      </c>
      <c r="M82" s="196">
        <f t="shared" si="2"/>
        <v>3000000</v>
      </c>
      <c r="N82" s="1"/>
      <c r="O82" s="1"/>
      <c r="P82" s="1"/>
      <c r="Q82" s="1"/>
      <c r="R82" s="1"/>
      <c r="S82" s="1"/>
      <c r="T82" s="1"/>
      <c r="U82" s="1"/>
      <c r="V82" s="1"/>
      <c r="W82" s="1"/>
      <c r="X82" s="1"/>
      <c r="Y82" s="1"/>
      <c r="Z82" s="1"/>
      <c r="AA82" s="1"/>
    </row>
    <row r="83" ht="15.75" customHeight="1">
      <c r="A83" s="1"/>
      <c r="B83" s="1"/>
      <c r="C83" s="1"/>
      <c r="D83" s="1"/>
      <c r="E83" s="1"/>
      <c r="F83" s="1"/>
      <c r="G83" s="1"/>
      <c r="H83" s="1"/>
      <c r="I83" s="1"/>
      <c r="J83" s="195">
        <f>$K$8+40</f>
        <v>2063</v>
      </c>
      <c r="K83" s="196">
        <f>$K$4+$K$5*40</f>
        <v>894000</v>
      </c>
      <c r="L83" s="196">
        <f t="shared" si="3"/>
        <v>7711174.868</v>
      </c>
      <c r="M83" s="196">
        <f t="shared" si="2"/>
        <v>3000000</v>
      </c>
      <c r="N83" s="1"/>
      <c r="O83" s="1"/>
      <c r="P83" s="1"/>
      <c r="Q83" s="1"/>
      <c r="R83" s="1"/>
      <c r="S83" s="1"/>
      <c r="T83" s="1"/>
      <c r="U83" s="1"/>
      <c r="V83" s="1"/>
      <c r="W83" s="1"/>
      <c r="X83" s="1"/>
      <c r="Y83" s="1"/>
      <c r="Z83" s="1"/>
      <c r="AA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ht="15.75" hidden="1"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ht="15.75" hidden="1"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ht="15.75" hidden="1"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ht="15.75" hidden="1"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ht="15.75" hidden="1"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ht="15.75" hidden="1"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ht="15.75" hidden="1"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ht="15.75" hidden="1"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ht="15.75" hidden="1"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ht="15.75" hidden="1"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ht="15.75" hidden="1"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ht="15.75" hidden="1"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ht="15.75" hidden="1"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ht="15.75" hidden="1"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ht="15.75" hidden="1"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ht="15.75" hidden="1"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ht="15.75" hidden="1"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ht="15.75" hidden="1"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ht="15.75" hidden="1"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ht="15.75" hidden="1"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ht="15.75" hidden="1"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ht="15.75" hidden="1"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ht="15.75" hidden="1"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ht="15.75" hidden="1"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ht="15.75" hidden="1"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ht="15.75" hidden="1"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ht="15.75" hidden="1"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ht="15.75" hidden="1"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ht="15.75" hidden="1"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ht="15.75" hidden="1"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ht="15.75" hidden="1"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ht="15.75" hidden="1"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ht="15.75" hidden="1"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ht="15.75" hidden="1"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ht="15.75" hidden="1"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ht="15.75" hidden="1"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ht="15.75" hidden="1"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ht="15.75" hidden="1"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ht="15.75" hidden="1"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ht="15.75" hidden="1"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ht="15.75" hidden="1"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ht="15.75" hidden="1"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ht="15.75" hidden="1"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ht="15.75" hidden="1"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ht="15.75" hidden="1"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ht="15.75" hidden="1"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ht="15.75" hidden="1"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ht="15.75" hidden="1"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ht="15.75" hidden="1"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ht="15.75" hidden="1"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ht="15.75" hidden="1"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ht="15.75" hidden="1"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ht="15.75" hidden="1"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ht="15.75" hidden="1"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ht="15.75" hidden="1"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ht="15.75" hidden="1"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ht="15.75" hidden="1"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ht="15.75" hidden="1"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ht="15.75" hidden="1"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ht="15.75" hidden="1"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ht="15.75" hidden="1"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ht="15.75" hidden="1"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ht="15.75" hidden="1"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ht="15.75" hidden="1"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ht="15.75" hidden="1"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ht="15.75" hidden="1"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ht="15.75" hidden="1"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ht="15.75" hidden="1"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ht="15.75" hidden="1"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ht="15.75" hidden="1"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ht="15.75" hidden="1"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ht="15.75" hidden="1"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ht="15.75" hidden="1"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ht="15.75" hidden="1"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ht="15.75" hidden="1"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ht="15.75" hidden="1"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ht="15.75" hidden="1"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ht="15.75" hidden="1"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ht="15.75" hidden="1"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ht="15.75" hidden="1"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ht="15.75" hidden="1"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ht="15.75" hidden="1"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ht="15.75" hidden="1"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ht="15.75" hidden="1"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ht="15.75" hidden="1"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ht="15.75" hidden="1"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ht="15.75" hidden="1"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ht="15.75" hidden="1"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ht="15.75" hidden="1"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ht="15.75" hidden="1"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ht="15.75" hidden="1"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ht="15.75" hidden="1"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ht="15.75" hidden="1"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ht="15.75" hidden="1"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ht="15.75" hidden="1"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ht="15.75" hidden="1"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ht="15.75" hidden="1"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ht="15.75" hidden="1"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ht="15.75" hidden="1"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ht="15.75" hidden="1"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ht="15.75" hidden="1"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ht="15.75" hidden="1"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ht="15.75" hidden="1"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ht="15.75" hidden="1"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ht="15.75" hidden="1"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ht="15.75" hidden="1"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ht="15.75" hidden="1"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ht="15.75" hidden="1"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ht="15.75" hidden="1"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ht="15.75" hidden="1"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ht="15.75" hidden="1"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ht="15.75" hidden="1"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ht="15.75" hidden="1"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ht="15.75" hidden="1"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ht="15.75" hidden="1"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ht="15.75" hidden="1"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ht="15.75" hidden="1"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ht="15.75" hidden="1"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ht="15.75" hidden="1"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ht="15.75" hidden="1"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ht="15.75" hidden="1"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ht="15.75" hidden="1"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ht="15.75" hidden="1"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ht="15.75" hidden="1"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ht="15.75" hidden="1"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ht="15.75" hidden="1"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ht="15.75" hidden="1"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ht="15.75" hidden="1"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ht="15.75" hidden="1"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ht="15.75" hidden="1"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ht="15.75" hidden="1"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ht="15.75" hidden="1"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ht="15.75" hidden="1"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ht="15.75" hidden="1"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ht="15.75" hidden="1"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ht="15.75" hidden="1" customHeight="1"/>
    <row r="222" ht="15.75" hidden="1" customHeight="1"/>
    <row r="223" ht="15.75" hidden="1" customHeight="1"/>
    <row r="224" ht="15.75" hidden="1" customHeight="1"/>
    <row r="225" ht="15.75" hidden="1" customHeight="1"/>
    <row r="226" ht="15.75" hidden="1" customHeight="1"/>
    <row r="227" ht="15.75" hidden="1" customHeight="1"/>
    <row r="228" ht="15.75" hidden="1" customHeight="1"/>
    <row r="229" ht="15.75" hidden="1" customHeight="1"/>
    <row r="230" ht="15.75" hidden="1" customHeight="1"/>
    <row r="231" ht="15.75" hidden="1" customHeight="1"/>
    <row r="232" ht="15.75" hidden="1" customHeight="1"/>
    <row r="233" ht="15.75" hidden="1" customHeight="1"/>
    <row r="234" ht="15.75" hidden="1" customHeight="1"/>
    <row r="235" ht="15.75" hidden="1" customHeight="1"/>
    <row r="236" ht="15.75" hidden="1" customHeight="1"/>
    <row r="237" ht="15.75" hidden="1" customHeight="1"/>
    <row r="238" ht="15.75" hidden="1" customHeight="1"/>
    <row r="239" ht="15.75" hidden="1" customHeight="1"/>
    <row r="240" ht="15.75" hidden="1" customHeight="1"/>
    <row r="241" ht="15.75" hidden="1" customHeight="1"/>
    <row r="242" ht="15.75" hidden="1" customHeight="1"/>
    <row r="243" ht="15.75" hidden="1" customHeight="1"/>
    <row r="244" ht="15.75" hidden="1" customHeight="1"/>
    <row r="245" ht="15.75" hidden="1" customHeight="1"/>
    <row r="246" ht="15.75" hidden="1" customHeight="1"/>
    <row r="247" ht="15.75" hidden="1" customHeight="1"/>
    <row r="248" ht="15.75" hidden="1" customHeight="1"/>
    <row r="249" ht="15.75" hidden="1" customHeight="1"/>
    <row r="250" ht="15.75" hidden="1" customHeight="1"/>
    <row r="251" ht="15.75" hidden="1" customHeight="1"/>
    <row r="252" ht="15.75" hidden="1" customHeight="1"/>
    <row r="253" ht="15.75" hidden="1" customHeight="1"/>
    <row r="254" ht="15.75" hidden="1" customHeight="1"/>
    <row r="255" ht="15.75" hidden="1" customHeight="1"/>
    <row r="256" ht="15.75" hidden="1" customHeight="1"/>
    <row r="257" ht="15.75" hidden="1" customHeight="1"/>
    <row r="258" ht="15.75" hidden="1" customHeight="1"/>
    <row r="259" ht="15.75" hidden="1" customHeight="1"/>
    <row r="260" ht="15.75" hidden="1" customHeight="1"/>
    <row r="261" ht="15.75" hidden="1" customHeight="1"/>
    <row r="262" ht="15.75" hidden="1" customHeight="1"/>
    <row r="263" ht="15.75" hidden="1" customHeight="1"/>
    <row r="264" ht="15.75" hidden="1" customHeight="1"/>
    <row r="265" ht="15.75" hidden="1" customHeight="1"/>
    <row r="266" ht="15.75" hidden="1" customHeight="1"/>
    <row r="267" ht="15.75" hidden="1" customHeight="1"/>
    <row r="268" ht="15.75" hidden="1" customHeight="1"/>
    <row r="269" ht="15.75" hidden="1" customHeight="1"/>
    <row r="270" ht="15.75" hidden="1" customHeight="1"/>
    <row r="271" ht="15.75" hidden="1" customHeight="1"/>
    <row r="272" ht="15.75" hidden="1" customHeight="1"/>
    <row r="273" ht="15.75" hidden="1" customHeight="1"/>
    <row r="274" ht="15.75" hidden="1" customHeight="1"/>
    <row r="275" ht="15.75" hidden="1" customHeight="1"/>
    <row r="276" ht="15.75" hidden="1" customHeight="1"/>
    <row r="277" ht="15.75" hidden="1" customHeight="1"/>
    <row r="278" ht="15.75" hidden="1" customHeight="1"/>
    <row r="279" ht="15.75" hidden="1" customHeight="1"/>
    <row r="280" ht="15.75" hidden="1" customHeight="1"/>
    <row r="281" ht="15.75" hidden="1" customHeight="1"/>
    <row r="282" ht="15.75" hidden="1" customHeight="1"/>
    <row r="283" ht="15.75" hidden="1"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1:G1"/>
    <mergeCell ref="J1:O1"/>
    <mergeCell ref="B3:G3"/>
    <mergeCell ref="J3:L3"/>
    <mergeCell ref="M3:O3"/>
    <mergeCell ref="J10:O11"/>
    <mergeCell ref="B18:G18"/>
    <mergeCell ref="B20:G20"/>
  </mergeCells>
  <conditionalFormatting sqref="K4:K8">
    <cfRule type="notContainsBlanks" dxfId="6" priority="1">
      <formula>LEN(TRIM(K4))&gt;0</formula>
    </cfRule>
  </conditionalFormatting>
  <conditionalFormatting sqref="K4:K8">
    <cfRule type="containsBlanks" dxfId="5" priority="2">
      <formula>LEN(TRIM(K4))=0</formula>
    </cfRule>
  </conditionalFormatting>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pageSetUpPr/>
  </sheetPr>
  <sheetViews>
    <sheetView showGridLines="0" workbookViewId="0"/>
  </sheetViews>
  <sheetFormatPr customHeight="1" defaultColWidth="14.43" defaultRowHeight="15.0"/>
  <cols>
    <col customWidth="1" min="1" max="1" width="34.14"/>
    <col customWidth="1" min="2" max="2" width="62.0"/>
    <col customWidth="1" min="3" max="4" width="18.0"/>
    <col customWidth="1" hidden="1" min="5" max="6" width="8.71"/>
  </cols>
  <sheetData>
    <row r="1">
      <c r="A1" s="154" t="s">
        <v>226</v>
      </c>
      <c r="B1" s="1"/>
      <c r="C1" s="1"/>
      <c r="D1" s="1"/>
    </row>
    <row r="2">
      <c r="A2" s="155" t="s">
        <v>227</v>
      </c>
      <c r="B2" s="1"/>
      <c r="C2" s="1"/>
      <c r="D2" s="1"/>
    </row>
    <row r="3">
      <c r="A3" s="1"/>
      <c r="B3" s="1"/>
      <c r="C3" s="1"/>
      <c r="D3" s="1"/>
    </row>
    <row r="4">
      <c r="A4" s="156" t="s">
        <v>229</v>
      </c>
      <c r="B4" s="157" t="s">
        <v>231</v>
      </c>
      <c r="C4" s="1"/>
      <c r="D4" s="1"/>
    </row>
    <row r="5">
      <c r="A5" s="156" t="s">
        <v>232</v>
      </c>
      <c r="B5" s="157" t="s">
        <v>233</v>
      </c>
      <c r="C5" s="1"/>
      <c r="D5" s="1"/>
    </row>
    <row r="6">
      <c r="A6" s="156" t="s">
        <v>234</v>
      </c>
      <c r="B6" s="157" t="s">
        <v>235</v>
      </c>
      <c r="C6" s="1"/>
      <c r="D6" s="1"/>
    </row>
    <row r="7">
      <c r="A7" s="156" t="s">
        <v>236</v>
      </c>
      <c r="B7" s="157" t="s">
        <v>237</v>
      </c>
      <c r="C7" s="1"/>
      <c r="D7" s="1"/>
    </row>
    <row r="8">
      <c r="A8" s="156" t="s">
        <v>238</v>
      </c>
      <c r="B8" s="157" t="s">
        <v>239</v>
      </c>
      <c r="C8" s="1"/>
      <c r="D8" s="1"/>
    </row>
    <row r="9">
      <c r="A9" s="1"/>
      <c r="B9" s="1"/>
      <c r="C9" s="1"/>
      <c r="D9" s="1"/>
    </row>
    <row r="10">
      <c r="A10" s="1"/>
      <c r="B10" s="1"/>
      <c r="C10" s="1"/>
      <c r="D10" s="1"/>
    </row>
    <row r="11">
      <c r="A11" s="155" t="s">
        <v>240</v>
      </c>
      <c r="B11" s="1"/>
      <c r="C11" s="1"/>
      <c r="D11" s="1"/>
    </row>
    <row r="12" ht="78.0" customHeight="1">
      <c r="A12" s="158" t="s">
        <v>241</v>
      </c>
      <c r="B12" s="159" t="s">
        <v>242</v>
      </c>
      <c r="C12" s="160"/>
      <c r="D12" s="161"/>
    </row>
    <row r="13" ht="69.75" customHeight="1">
      <c r="A13" s="158" t="s">
        <v>243</v>
      </c>
      <c r="B13" s="159" t="s">
        <v>245</v>
      </c>
      <c r="C13" s="160"/>
      <c r="D13" s="161"/>
    </row>
    <row r="14" ht="69.75" customHeight="1">
      <c r="A14" s="158" t="s">
        <v>247</v>
      </c>
      <c r="B14" s="159" t="s">
        <v>248</v>
      </c>
      <c r="C14" s="160"/>
      <c r="D14" s="161"/>
    </row>
    <row r="15" ht="69.75" customHeight="1">
      <c r="A15" s="158" t="s">
        <v>249</v>
      </c>
      <c r="B15" s="159" t="s">
        <v>250</v>
      </c>
      <c r="C15" s="160"/>
      <c r="D15" s="161"/>
    </row>
    <row r="16" ht="69.75" customHeight="1">
      <c r="A16" s="158" t="s">
        <v>251</v>
      </c>
      <c r="B16" s="159" t="s">
        <v>252</v>
      </c>
      <c r="C16" s="160"/>
      <c r="D16" s="161"/>
    </row>
    <row r="17" ht="69.75" customHeight="1">
      <c r="A17" s="158" t="s">
        <v>254</v>
      </c>
      <c r="B17" s="159" t="s">
        <v>255</v>
      </c>
      <c r="C17" s="160"/>
      <c r="D17" s="161"/>
    </row>
    <row r="18" ht="69.75" customHeight="1">
      <c r="A18" s="158" t="s">
        <v>257</v>
      </c>
      <c r="B18" s="159" t="s">
        <v>258</v>
      </c>
      <c r="C18" s="160"/>
      <c r="D18" s="161"/>
    </row>
    <row r="19" ht="69.75" customHeight="1">
      <c r="A19" s="158" t="s">
        <v>259</v>
      </c>
      <c r="B19" s="159" t="s">
        <v>260</v>
      </c>
      <c r="C19" s="160"/>
      <c r="D19" s="161"/>
    </row>
    <row r="20" ht="69.75" customHeight="1">
      <c r="A20" s="158" t="s">
        <v>261</v>
      </c>
      <c r="B20" s="159" t="s">
        <v>262</v>
      </c>
      <c r="C20" s="160"/>
      <c r="D20" s="161"/>
    </row>
    <row r="21" ht="15.75" customHeight="1">
      <c r="A21" s="162"/>
      <c r="B21" s="1"/>
      <c r="C21" s="1"/>
      <c r="D21" s="1"/>
    </row>
    <row r="22" ht="15.75" customHeight="1">
      <c r="A22" s="158" t="s">
        <v>263</v>
      </c>
      <c r="B22" s="163" t="s">
        <v>264</v>
      </c>
      <c r="C22" s="160"/>
      <c r="D22" s="161"/>
    </row>
    <row r="23" ht="15.75" customHeight="1">
      <c r="A23" s="1"/>
      <c r="B23" s="1"/>
      <c r="C23" s="1"/>
      <c r="D23" s="1"/>
    </row>
    <row r="24" ht="54.75" customHeight="1">
      <c r="A24" s="164"/>
      <c r="B24" s="165"/>
    </row>
    <row r="25" ht="15.75" customHeight="1">
      <c r="A25" s="1"/>
      <c r="B25" s="1"/>
      <c r="C25" s="1"/>
      <c r="D25" s="1"/>
    </row>
    <row r="26" ht="15.75" customHeight="1">
      <c r="A26" s="1"/>
      <c r="B26" s="1"/>
      <c r="C26" s="1"/>
      <c r="D26" s="1"/>
    </row>
    <row r="27" ht="15.75" customHeight="1">
      <c r="A27" s="1"/>
      <c r="B27" s="1"/>
      <c r="C27" s="1"/>
      <c r="D27" s="1"/>
    </row>
    <row r="28" ht="15.75" customHeight="1">
      <c r="A28" s="1"/>
      <c r="B28" s="1"/>
      <c r="C28" s="1"/>
      <c r="D28" s="1"/>
    </row>
    <row r="29" ht="15.75" customHeight="1">
      <c r="A29" s="1"/>
      <c r="B29" s="1"/>
      <c r="C29" s="1"/>
      <c r="D29" s="1"/>
    </row>
    <row r="30" ht="15.75" customHeight="1">
      <c r="A30" s="1"/>
      <c r="B30" s="1"/>
      <c r="C30" s="1"/>
      <c r="D30" s="1"/>
    </row>
    <row r="31" ht="15.75" customHeight="1">
      <c r="A31" s="1"/>
      <c r="B31" s="1"/>
      <c r="C31" s="1"/>
      <c r="D31" s="1"/>
    </row>
    <row r="32" ht="15.75" customHeight="1">
      <c r="A32" s="1"/>
      <c r="B32" s="1"/>
      <c r="C32" s="1"/>
      <c r="D32" s="1"/>
    </row>
    <row r="33" ht="15.75" customHeight="1">
      <c r="A33" s="1"/>
      <c r="B33" s="1"/>
      <c r="C33" s="1"/>
      <c r="D33" s="1"/>
    </row>
    <row r="34" ht="15.75" customHeight="1">
      <c r="A34" s="1"/>
      <c r="B34" s="1"/>
      <c r="C34" s="1"/>
      <c r="D34" s="1"/>
    </row>
    <row r="35" ht="15.75" customHeight="1">
      <c r="A35" s="1"/>
      <c r="B35" s="1"/>
      <c r="C35" s="1"/>
      <c r="D35" s="1"/>
    </row>
    <row r="36" ht="15.75" customHeight="1">
      <c r="A36" s="1"/>
      <c r="B36" s="1"/>
      <c r="C36" s="1"/>
      <c r="D36" s="1"/>
    </row>
    <row r="37" ht="15.75" customHeight="1">
      <c r="A37" s="1"/>
      <c r="B37" s="1"/>
      <c r="C37" s="1"/>
      <c r="D37" s="1"/>
    </row>
    <row r="38" ht="15.75" customHeight="1">
      <c r="A38" s="1"/>
      <c r="B38" s="1"/>
      <c r="C38" s="1"/>
      <c r="D38" s="1"/>
    </row>
    <row r="39" ht="15.75" customHeight="1">
      <c r="A39" s="1"/>
      <c r="B39" s="1"/>
      <c r="C39" s="1"/>
      <c r="D39" s="1"/>
    </row>
    <row r="40" ht="15.75" customHeight="1">
      <c r="A40" s="1"/>
      <c r="B40" s="1"/>
      <c r="C40" s="1"/>
      <c r="D40" s="1"/>
    </row>
    <row r="41" ht="15.75" hidden="1" customHeight="1">
      <c r="A41" s="1"/>
      <c r="B41" s="1"/>
      <c r="C41" s="1"/>
      <c r="D41" s="1"/>
    </row>
    <row r="42" ht="15.75" hidden="1" customHeight="1">
      <c r="A42" s="1"/>
      <c r="B42" s="1"/>
      <c r="C42" s="1"/>
      <c r="D42" s="1"/>
    </row>
    <row r="43" ht="15.75" hidden="1" customHeight="1">
      <c r="A43" s="1"/>
      <c r="B43" s="1"/>
      <c r="C43" s="1"/>
      <c r="D43" s="1"/>
    </row>
    <row r="44" ht="15.75" hidden="1" customHeight="1">
      <c r="A44" s="1"/>
      <c r="B44" s="1"/>
      <c r="C44" s="1"/>
      <c r="D44" s="1"/>
    </row>
    <row r="45" ht="15.75" hidden="1" customHeight="1">
      <c r="A45" s="1"/>
      <c r="B45" s="1"/>
      <c r="C45" s="1"/>
      <c r="D45" s="1"/>
    </row>
    <row r="46" ht="15.75" hidden="1" customHeight="1">
      <c r="A46" s="1"/>
      <c r="B46" s="1"/>
      <c r="C46" s="1"/>
      <c r="D46" s="1"/>
    </row>
    <row r="47" ht="15.75" hidden="1" customHeight="1">
      <c r="A47" s="1"/>
      <c r="B47" s="1"/>
      <c r="C47" s="1"/>
      <c r="D47" s="1"/>
    </row>
    <row r="48" ht="15.75" hidden="1" customHeight="1">
      <c r="A48" s="1"/>
      <c r="B48" s="1"/>
      <c r="C48" s="1"/>
      <c r="D48" s="1"/>
    </row>
    <row r="49" ht="15.75" hidden="1" customHeight="1">
      <c r="A49" s="1"/>
      <c r="B49" s="1"/>
      <c r="C49" s="1"/>
      <c r="D49" s="1"/>
    </row>
    <row r="50" ht="15.75" hidden="1" customHeight="1">
      <c r="A50" s="1"/>
      <c r="B50" s="1"/>
      <c r="C50" s="1"/>
      <c r="D50" s="1"/>
    </row>
    <row r="51" ht="15.75" hidden="1" customHeight="1">
      <c r="A51" s="1"/>
      <c r="B51" s="1"/>
      <c r="C51" s="1"/>
      <c r="D51" s="1"/>
    </row>
    <row r="52" ht="15.75" hidden="1" customHeight="1">
      <c r="A52" s="1"/>
      <c r="B52" s="1"/>
      <c r="C52" s="1"/>
      <c r="D52" s="1"/>
    </row>
    <row r="53" ht="15.75" hidden="1" customHeight="1">
      <c r="A53" s="1"/>
      <c r="B53" s="1"/>
      <c r="C53" s="1"/>
      <c r="D53" s="1"/>
    </row>
    <row r="54" ht="15.75" hidden="1" customHeight="1">
      <c r="A54" s="1"/>
      <c r="B54" s="1"/>
      <c r="C54" s="1"/>
      <c r="D54" s="1"/>
    </row>
    <row r="55" ht="15.75" hidden="1" customHeight="1">
      <c r="A55" s="1"/>
      <c r="B55" s="1"/>
      <c r="C55" s="1"/>
      <c r="D55" s="1"/>
    </row>
    <row r="56" ht="15.75" hidden="1" customHeight="1">
      <c r="A56" s="1"/>
      <c r="B56" s="1"/>
      <c r="C56" s="1"/>
      <c r="D56" s="1"/>
    </row>
    <row r="57" ht="15.75" hidden="1" customHeight="1">
      <c r="A57" s="1"/>
      <c r="B57" s="1"/>
      <c r="C57" s="1"/>
      <c r="D57" s="1"/>
    </row>
    <row r="58" ht="15.75" hidden="1" customHeight="1">
      <c r="A58" s="1"/>
      <c r="B58" s="1"/>
      <c r="C58" s="1"/>
      <c r="D58" s="1"/>
    </row>
    <row r="59" ht="15.75" hidden="1" customHeight="1">
      <c r="A59" s="1"/>
      <c r="B59" s="1"/>
      <c r="C59" s="1"/>
      <c r="D59" s="1"/>
    </row>
    <row r="60" ht="15.75" hidden="1" customHeight="1">
      <c r="A60" s="1"/>
      <c r="B60" s="1"/>
      <c r="C60" s="1"/>
      <c r="D60" s="1"/>
    </row>
    <row r="61" ht="15.75" hidden="1" customHeight="1">
      <c r="A61" s="1"/>
      <c r="B61" s="1"/>
      <c r="C61" s="1"/>
      <c r="D61" s="1"/>
    </row>
    <row r="62" ht="15.75" hidden="1" customHeight="1">
      <c r="A62" s="1"/>
      <c r="B62" s="1"/>
      <c r="C62" s="1"/>
      <c r="D62" s="1"/>
    </row>
    <row r="63" ht="15.75" hidden="1" customHeight="1">
      <c r="A63" s="1"/>
      <c r="B63" s="1"/>
      <c r="C63" s="1"/>
      <c r="D63" s="1"/>
    </row>
    <row r="64" ht="15.75" hidden="1" customHeight="1">
      <c r="A64" s="1"/>
      <c r="B64" s="1"/>
      <c r="C64" s="1"/>
      <c r="D64" s="1"/>
    </row>
    <row r="65" ht="15.75" hidden="1" customHeight="1">
      <c r="A65" s="1"/>
      <c r="B65" s="1"/>
      <c r="C65" s="1"/>
      <c r="D65" s="1"/>
    </row>
    <row r="66" ht="15.75" hidden="1" customHeight="1">
      <c r="A66" s="1"/>
      <c r="B66" s="1"/>
      <c r="C66" s="1"/>
      <c r="D66" s="1"/>
    </row>
    <row r="67" ht="15.75" hidden="1" customHeight="1">
      <c r="A67" s="1"/>
      <c r="B67" s="1"/>
      <c r="C67" s="1"/>
      <c r="D67" s="1"/>
    </row>
    <row r="68" ht="15.75" hidden="1" customHeight="1">
      <c r="A68" s="1"/>
      <c r="B68" s="1"/>
      <c r="C68" s="1"/>
      <c r="D68" s="1"/>
    </row>
    <row r="69" ht="15.75" hidden="1" customHeight="1">
      <c r="A69" s="1"/>
      <c r="B69" s="1"/>
      <c r="C69" s="1"/>
      <c r="D69" s="1"/>
    </row>
    <row r="70" ht="15.75" hidden="1" customHeight="1">
      <c r="A70" s="1"/>
      <c r="B70" s="1"/>
      <c r="C70" s="1"/>
      <c r="D70" s="1"/>
    </row>
    <row r="71" ht="15.75" hidden="1" customHeight="1">
      <c r="A71" s="1"/>
      <c r="B71" s="1"/>
      <c r="C71" s="1"/>
      <c r="D71" s="1"/>
    </row>
    <row r="72" ht="15.75" hidden="1" customHeight="1">
      <c r="A72" s="1"/>
      <c r="B72" s="1"/>
      <c r="C72" s="1"/>
      <c r="D72" s="1"/>
    </row>
    <row r="73" ht="15.75" hidden="1" customHeight="1">
      <c r="A73" s="1"/>
      <c r="B73" s="1"/>
      <c r="C73" s="1"/>
      <c r="D73" s="1"/>
    </row>
    <row r="74" ht="15.75" hidden="1" customHeight="1">
      <c r="A74" s="1"/>
      <c r="B74" s="1"/>
      <c r="C74" s="1"/>
      <c r="D74" s="1"/>
    </row>
    <row r="75" ht="15.75" hidden="1" customHeight="1">
      <c r="A75" s="1"/>
      <c r="B75" s="1"/>
      <c r="C75" s="1"/>
      <c r="D75" s="1"/>
    </row>
    <row r="76" ht="15.75" hidden="1" customHeight="1">
      <c r="A76" s="1"/>
      <c r="B76" s="1"/>
      <c r="C76" s="1"/>
      <c r="D76" s="1"/>
    </row>
    <row r="77" ht="15.75" hidden="1" customHeight="1">
      <c r="A77" s="1"/>
      <c r="B77" s="1"/>
      <c r="C77" s="1"/>
      <c r="D77" s="1"/>
    </row>
    <row r="78" ht="15.75" hidden="1" customHeight="1">
      <c r="A78" s="1"/>
      <c r="B78" s="1"/>
      <c r="C78" s="1"/>
      <c r="D78" s="1"/>
    </row>
    <row r="79" ht="15.75" hidden="1" customHeight="1">
      <c r="A79" s="1"/>
      <c r="B79" s="1"/>
      <c r="C79" s="1"/>
      <c r="D79" s="1"/>
    </row>
    <row r="80" ht="15.75" hidden="1" customHeight="1">
      <c r="A80" s="1"/>
      <c r="B80" s="1"/>
      <c r="C80" s="1"/>
      <c r="D80" s="1"/>
    </row>
    <row r="81" ht="15.75" hidden="1" customHeight="1">
      <c r="A81" s="1"/>
      <c r="B81" s="1"/>
      <c r="C81" s="1"/>
      <c r="D81" s="1"/>
    </row>
    <row r="82" ht="15.75" hidden="1" customHeight="1">
      <c r="A82" s="1"/>
      <c r="B82" s="1"/>
      <c r="C82" s="1"/>
      <c r="D82" s="1"/>
    </row>
    <row r="83" ht="15.75" hidden="1" customHeight="1">
      <c r="A83" s="1"/>
      <c r="B83" s="1"/>
      <c r="C83" s="1"/>
      <c r="D83" s="1"/>
    </row>
    <row r="84" ht="15.75" hidden="1" customHeight="1">
      <c r="A84" s="1"/>
      <c r="B84" s="1"/>
      <c r="C84" s="1"/>
      <c r="D84" s="1"/>
    </row>
    <row r="85" ht="15.75" hidden="1" customHeight="1">
      <c r="A85" s="1"/>
      <c r="B85" s="1"/>
      <c r="C85" s="1"/>
      <c r="D85" s="1"/>
    </row>
    <row r="86" ht="15.75" hidden="1" customHeight="1">
      <c r="A86" s="1"/>
      <c r="B86" s="1"/>
      <c r="C86" s="1"/>
      <c r="D86" s="1"/>
    </row>
    <row r="87" ht="15.75" hidden="1" customHeight="1">
      <c r="A87" s="1"/>
      <c r="B87" s="1"/>
      <c r="C87" s="1"/>
      <c r="D87" s="1"/>
    </row>
    <row r="88" ht="15.75" hidden="1" customHeight="1">
      <c r="A88" s="1"/>
      <c r="B88" s="1"/>
      <c r="C88" s="1"/>
      <c r="D88" s="1"/>
    </row>
    <row r="89" ht="15.75" hidden="1" customHeight="1">
      <c r="A89" s="1"/>
      <c r="B89" s="1"/>
      <c r="C89" s="1"/>
      <c r="D89" s="1"/>
    </row>
    <row r="90" ht="15.75" hidden="1" customHeight="1">
      <c r="A90" s="1"/>
      <c r="B90" s="1"/>
      <c r="C90" s="1"/>
      <c r="D90" s="1"/>
    </row>
    <row r="91" ht="15.75" hidden="1" customHeight="1">
      <c r="A91" s="1"/>
      <c r="B91" s="1"/>
      <c r="C91" s="1"/>
      <c r="D91" s="1"/>
    </row>
    <row r="92" ht="15.75" hidden="1" customHeight="1">
      <c r="A92" s="1"/>
      <c r="B92" s="1"/>
      <c r="C92" s="1"/>
      <c r="D92" s="1"/>
    </row>
    <row r="93" ht="15.75" hidden="1" customHeight="1">
      <c r="A93" s="1"/>
      <c r="B93" s="1"/>
      <c r="C93" s="1"/>
      <c r="D93" s="1"/>
    </row>
    <row r="94" ht="15.75" hidden="1" customHeight="1">
      <c r="A94" s="1"/>
      <c r="B94" s="1"/>
      <c r="C94" s="1"/>
      <c r="D94" s="1"/>
    </row>
    <row r="95" ht="15.75" hidden="1" customHeight="1">
      <c r="A95" s="1"/>
      <c r="B95" s="1"/>
      <c r="C95" s="1"/>
      <c r="D95" s="1"/>
    </row>
    <row r="96" ht="15.75" hidden="1" customHeight="1">
      <c r="A96" s="1"/>
      <c r="B96" s="1"/>
      <c r="C96" s="1"/>
      <c r="D96" s="1"/>
    </row>
    <row r="97" ht="15.75" hidden="1" customHeight="1">
      <c r="A97" s="1"/>
      <c r="B97" s="1"/>
      <c r="C97" s="1"/>
      <c r="D97" s="1"/>
    </row>
    <row r="98" ht="15.75" hidden="1" customHeight="1">
      <c r="A98" s="1"/>
      <c r="B98" s="1"/>
      <c r="C98" s="1"/>
      <c r="D98" s="1"/>
    </row>
    <row r="99" ht="15.75" hidden="1" customHeight="1">
      <c r="A99" s="1"/>
      <c r="B99" s="1"/>
      <c r="C99" s="1"/>
      <c r="D99" s="1"/>
    </row>
    <row r="100" ht="15.75" hidden="1" customHeight="1">
      <c r="A100" s="1"/>
      <c r="B100" s="1"/>
      <c r="C100" s="1"/>
      <c r="D100" s="1"/>
    </row>
    <row r="101" ht="15.75" hidden="1" customHeight="1">
      <c r="A101" s="1"/>
      <c r="B101" s="1"/>
      <c r="C101" s="1"/>
      <c r="D101" s="1"/>
    </row>
    <row r="102" ht="15.75" hidden="1" customHeight="1">
      <c r="A102" s="1"/>
      <c r="B102" s="1"/>
      <c r="C102" s="1"/>
      <c r="D102" s="1"/>
    </row>
    <row r="103" ht="15.75" hidden="1" customHeight="1">
      <c r="A103" s="1"/>
      <c r="B103" s="1"/>
      <c r="C103" s="1"/>
      <c r="D103" s="1"/>
    </row>
    <row r="104" ht="15.75" hidden="1" customHeight="1">
      <c r="A104" s="1"/>
      <c r="B104" s="1"/>
      <c r="C104" s="1"/>
      <c r="D104" s="1"/>
    </row>
    <row r="105" ht="15.75" hidden="1" customHeight="1">
      <c r="A105" s="1"/>
      <c r="B105" s="1"/>
      <c r="C105" s="1"/>
      <c r="D105" s="1"/>
    </row>
    <row r="106" ht="15.75" hidden="1" customHeight="1">
      <c r="A106" s="1"/>
      <c r="B106" s="1"/>
      <c r="C106" s="1"/>
      <c r="D106" s="1"/>
    </row>
    <row r="107" ht="15.75" hidden="1" customHeight="1">
      <c r="A107" s="1"/>
      <c r="B107" s="1"/>
      <c r="C107" s="1"/>
      <c r="D107" s="1"/>
    </row>
    <row r="108" ht="15.75" hidden="1" customHeight="1">
      <c r="A108" s="1"/>
      <c r="B108" s="1"/>
      <c r="C108" s="1"/>
      <c r="D108" s="1"/>
    </row>
    <row r="109" ht="15.75" hidden="1" customHeight="1">
      <c r="A109" s="1"/>
      <c r="B109" s="1"/>
      <c r="C109" s="1"/>
      <c r="D109" s="1"/>
    </row>
    <row r="110" ht="15.75" hidden="1" customHeight="1">
      <c r="A110" s="1"/>
      <c r="B110" s="1"/>
      <c r="C110" s="1"/>
      <c r="D110" s="1"/>
    </row>
    <row r="111" ht="15.75" hidden="1" customHeight="1">
      <c r="A111" s="1"/>
      <c r="B111" s="1"/>
      <c r="C111" s="1"/>
      <c r="D111" s="1"/>
    </row>
    <row r="112" ht="15.75" hidden="1" customHeight="1">
      <c r="A112" s="1"/>
      <c r="B112" s="1"/>
      <c r="C112" s="1"/>
      <c r="D112" s="1"/>
    </row>
    <row r="113" ht="15.75" hidden="1" customHeight="1">
      <c r="A113" s="1"/>
      <c r="B113" s="1"/>
      <c r="C113" s="1"/>
      <c r="D113" s="1"/>
    </row>
    <row r="114" ht="15.75" hidden="1" customHeight="1">
      <c r="A114" s="1"/>
      <c r="B114" s="1"/>
      <c r="C114" s="1"/>
      <c r="D114" s="1"/>
    </row>
    <row r="115" ht="15.75" hidden="1" customHeight="1">
      <c r="A115" s="1"/>
      <c r="B115" s="1"/>
      <c r="C115" s="1"/>
      <c r="D115" s="1"/>
    </row>
    <row r="116" ht="15.75" hidden="1" customHeight="1">
      <c r="A116" s="1"/>
      <c r="B116" s="1"/>
      <c r="C116" s="1"/>
      <c r="D116" s="1"/>
    </row>
    <row r="117" ht="15.75" hidden="1" customHeight="1">
      <c r="A117" s="1"/>
      <c r="B117" s="1"/>
      <c r="C117" s="1"/>
      <c r="D117" s="1"/>
    </row>
    <row r="118" ht="15.75" hidden="1" customHeight="1">
      <c r="A118" s="1"/>
      <c r="B118" s="1"/>
      <c r="C118" s="1"/>
      <c r="D118" s="1"/>
    </row>
    <row r="119" ht="15.75" hidden="1" customHeight="1">
      <c r="A119" s="1"/>
      <c r="B119" s="1"/>
      <c r="C119" s="1"/>
      <c r="D119" s="1"/>
    </row>
    <row r="120" ht="15.75" hidden="1" customHeight="1">
      <c r="A120" s="1"/>
      <c r="B120" s="1"/>
      <c r="C120" s="1"/>
      <c r="D120" s="1"/>
    </row>
    <row r="121" ht="15.75" hidden="1" customHeight="1">
      <c r="A121" s="1"/>
      <c r="B121" s="1"/>
      <c r="C121" s="1"/>
      <c r="D121" s="1"/>
    </row>
    <row r="122" ht="15.75" hidden="1" customHeight="1">
      <c r="A122" s="1"/>
      <c r="B122" s="1"/>
      <c r="C122" s="1"/>
      <c r="D122" s="1"/>
    </row>
    <row r="123" ht="15.75" hidden="1" customHeight="1">
      <c r="A123" s="1"/>
      <c r="B123" s="1"/>
      <c r="C123" s="1"/>
      <c r="D123" s="1"/>
    </row>
    <row r="124" ht="15.75" hidden="1" customHeight="1">
      <c r="A124" s="1"/>
      <c r="B124" s="1"/>
      <c r="C124" s="1"/>
      <c r="D124" s="1"/>
    </row>
    <row r="125" ht="15.75" hidden="1" customHeight="1">
      <c r="A125" s="1"/>
      <c r="B125" s="1"/>
      <c r="C125" s="1"/>
      <c r="D125" s="1"/>
    </row>
    <row r="126" ht="15.75" hidden="1" customHeight="1">
      <c r="A126" s="1"/>
      <c r="B126" s="1"/>
      <c r="C126" s="1"/>
      <c r="D126" s="1"/>
    </row>
    <row r="127" ht="15.75" hidden="1" customHeight="1">
      <c r="A127" s="1"/>
      <c r="B127" s="1"/>
      <c r="C127" s="1"/>
      <c r="D127" s="1"/>
    </row>
    <row r="128" ht="15.75" hidden="1" customHeight="1">
      <c r="A128" s="1"/>
      <c r="B128" s="1"/>
      <c r="C128" s="1"/>
      <c r="D128" s="1"/>
    </row>
    <row r="129" ht="15.75" hidden="1" customHeight="1">
      <c r="A129" s="1"/>
      <c r="B129" s="1"/>
      <c r="C129" s="1"/>
      <c r="D129" s="1"/>
    </row>
    <row r="130" ht="15.75" hidden="1" customHeight="1">
      <c r="A130" s="1"/>
      <c r="B130" s="1"/>
      <c r="C130" s="1"/>
      <c r="D130" s="1"/>
    </row>
    <row r="131" ht="15.75" hidden="1" customHeight="1">
      <c r="A131" s="1"/>
      <c r="B131" s="1"/>
      <c r="C131" s="1"/>
      <c r="D131" s="1"/>
    </row>
    <row r="132" ht="15.75" hidden="1" customHeight="1">
      <c r="A132" s="1"/>
      <c r="B132" s="1"/>
      <c r="C132" s="1"/>
      <c r="D132" s="1"/>
    </row>
    <row r="133" ht="15.75" hidden="1" customHeight="1">
      <c r="A133" s="1"/>
      <c r="B133" s="1"/>
      <c r="C133" s="1"/>
      <c r="D133" s="1"/>
    </row>
    <row r="134" ht="15.75" hidden="1" customHeight="1">
      <c r="A134" s="1"/>
      <c r="B134" s="1"/>
      <c r="C134" s="1"/>
      <c r="D134" s="1"/>
    </row>
    <row r="135" ht="15.75" hidden="1" customHeight="1">
      <c r="A135" s="1"/>
      <c r="B135" s="1"/>
      <c r="C135" s="1"/>
      <c r="D135" s="1"/>
    </row>
    <row r="136" ht="15.75" hidden="1" customHeight="1">
      <c r="A136" s="1"/>
      <c r="B136" s="1"/>
      <c r="C136" s="1"/>
      <c r="D136" s="1"/>
    </row>
    <row r="137" ht="15.75" hidden="1" customHeight="1">
      <c r="A137" s="1"/>
      <c r="B137" s="1"/>
      <c r="C137" s="1"/>
      <c r="D137" s="1"/>
    </row>
    <row r="138" ht="15.75" hidden="1" customHeight="1">
      <c r="A138" s="1"/>
      <c r="B138" s="1"/>
      <c r="C138" s="1"/>
      <c r="D138" s="1"/>
    </row>
    <row r="139" ht="15.75" hidden="1" customHeight="1">
      <c r="A139" s="1"/>
      <c r="B139" s="1"/>
      <c r="C139" s="1"/>
      <c r="D139" s="1"/>
    </row>
    <row r="140" ht="15.75" hidden="1" customHeight="1">
      <c r="A140" s="1"/>
      <c r="B140" s="1"/>
      <c r="C140" s="1"/>
      <c r="D140" s="1"/>
    </row>
    <row r="141" ht="15.75" hidden="1" customHeight="1">
      <c r="A141" s="1"/>
      <c r="B141" s="1"/>
      <c r="C141" s="1"/>
      <c r="D141" s="1"/>
    </row>
    <row r="142" ht="15.75" hidden="1" customHeight="1">
      <c r="A142" s="1"/>
      <c r="B142" s="1"/>
      <c r="C142" s="1"/>
      <c r="D142" s="1"/>
    </row>
    <row r="143" ht="15.75" hidden="1" customHeight="1">
      <c r="A143" s="1"/>
      <c r="B143" s="1"/>
      <c r="C143" s="1"/>
      <c r="D143" s="1"/>
    </row>
    <row r="144" ht="15.75" hidden="1" customHeight="1">
      <c r="A144" s="1"/>
      <c r="B144" s="1"/>
      <c r="C144" s="1"/>
      <c r="D144" s="1"/>
    </row>
    <row r="145" ht="15.75" hidden="1" customHeight="1">
      <c r="A145" s="1"/>
      <c r="B145" s="1"/>
      <c r="C145" s="1"/>
      <c r="D145" s="1"/>
    </row>
    <row r="146" ht="15.75" hidden="1" customHeight="1">
      <c r="A146" s="1"/>
      <c r="B146" s="1"/>
      <c r="C146" s="1"/>
      <c r="D146" s="1"/>
    </row>
    <row r="147" ht="15.75" hidden="1" customHeight="1">
      <c r="A147" s="1"/>
      <c r="B147" s="1"/>
      <c r="C147" s="1"/>
      <c r="D147" s="1"/>
    </row>
    <row r="148" ht="15.75" hidden="1" customHeight="1">
      <c r="A148" s="1"/>
      <c r="B148" s="1"/>
      <c r="C148" s="1"/>
      <c r="D148" s="1"/>
    </row>
    <row r="149" ht="15.75" hidden="1" customHeight="1">
      <c r="A149" s="1"/>
      <c r="B149" s="1"/>
      <c r="C149" s="1"/>
      <c r="D149" s="1"/>
    </row>
    <row r="150" ht="15.75" hidden="1" customHeight="1">
      <c r="A150" s="1"/>
      <c r="B150" s="1"/>
      <c r="C150" s="1"/>
      <c r="D150" s="1"/>
    </row>
    <row r="151" ht="15.75" hidden="1" customHeight="1">
      <c r="A151" s="1"/>
      <c r="B151" s="1"/>
      <c r="C151" s="1"/>
      <c r="D151" s="1"/>
    </row>
    <row r="152" ht="15.75" hidden="1" customHeight="1">
      <c r="A152" s="1"/>
      <c r="B152" s="1"/>
      <c r="C152" s="1"/>
      <c r="D152" s="1"/>
    </row>
    <row r="153" ht="15.75" hidden="1" customHeight="1">
      <c r="A153" s="1"/>
      <c r="B153" s="1"/>
      <c r="C153" s="1"/>
      <c r="D153" s="1"/>
    </row>
    <row r="154" ht="15.75" hidden="1" customHeight="1">
      <c r="A154" s="1"/>
      <c r="B154" s="1"/>
      <c r="C154" s="1"/>
      <c r="D154" s="1"/>
    </row>
    <row r="155" ht="15.75" hidden="1" customHeight="1">
      <c r="A155" s="1"/>
      <c r="B155" s="1"/>
      <c r="C155" s="1"/>
      <c r="D155" s="1"/>
    </row>
    <row r="156" ht="15.75" hidden="1" customHeight="1">
      <c r="A156" s="1"/>
      <c r="B156" s="1"/>
      <c r="C156" s="1"/>
      <c r="D156" s="1"/>
    </row>
    <row r="157" ht="15.75" hidden="1" customHeight="1">
      <c r="A157" s="1"/>
      <c r="B157" s="1"/>
      <c r="C157" s="1"/>
      <c r="D157" s="1"/>
    </row>
    <row r="158" ht="15.75" hidden="1" customHeight="1">
      <c r="A158" s="1"/>
      <c r="B158" s="1"/>
      <c r="C158" s="1"/>
      <c r="D158" s="1"/>
    </row>
    <row r="159" ht="15.75" hidden="1" customHeight="1">
      <c r="A159" s="1"/>
      <c r="B159" s="1"/>
      <c r="C159" s="1"/>
      <c r="D159" s="1"/>
    </row>
    <row r="160" ht="15.75" hidden="1" customHeight="1">
      <c r="A160" s="1"/>
      <c r="B160" s="1"/>
      <c r="C160" s="1"/>
      <c r="D160" s="1"/>
    </row>
    <row r="161" ht="15.75" hidden="1" customHeight="1">
      <c r="A161" s="1"/>
      <c r="B161" s="1"/>
      <c r="C161" s="1"/>
      <c r="D161" s="1"/>
    </row>
    <row r="162" ht="15.75" hidden="1" customHeight="1">
      <c r="A162" s="1"/>
      <c r="B162" s="1"/>
      <c r="C162" s="1"/>
      <c r="D162" s="1"/>
    </row>
    <row r="163" ht="15.75" hidden="1" customHeight="1">
      <c r="A163" s="1"/>
      <c r="B163" s="1"/>
      <c r="C163" s="1"/>
      <c r="D163" s="1"/>
    </row>
    <row r="164" ht="15.75" hidden="1" customHeight="1">
      <c r="A164" s="1"/>
      <c r="B164" s="1"/>
      <c r="C164" s="1"/>
      <c r="D164" s="1"/>
    </row>
    <row r="165" ht="15.75" hidden="1" customHeight="1">
      <c r="A165" s="1"/>
      <c r="B165" s="1"/>
      <c r="C165" s="1"/>
      <c r="D165" s="1"/>
    </row>
    <row r="166" ht="15.75" hidden="1" customHeight="1">
      <c r="A166" s="1"/>
      <c r="B166" s="1"/>
      <c r="C166" s="1"/>
      <c r="D166" s="1"/>
    </row>
    <row r="167" ht="15.75" hidden="1" customHeight="1">
      <c r="A167" s="1"/>
      <c r="B167" s="1"/>
      <c r="C167" s="1"/>
      <c r="D167" s="1"/>
    </row>
    <row r="168" ht="15.75" hidden="1" customHeight="1">
      <c r="A168" s="1"/>
      <c r="B168" s="1"/>
      <c r="C168" s="1"/>
      <c r="D168" s="1"/>
    </row>
    <row r="169" ht="15.75" hidden="1" customHeight="1">
      <c r="A169" s="1"/>
      <c r="B169" s="1"/>
      <c r="C169" s="1"/>
      <c r="D169" s="1"/>
    </row>
    <row r="170" ht="15.75" hidden="1" customHeight="1">
      <c r="A170" s="1"/>
      <c r="B170" s="1"/>
      <c r="C170" s="1"/>
      <c r="D170" s="1"/>
    </row>
    <row r="171" ht="15.75" hidden="1" customHeight="1">
      <c r="A171" s="1"/>
      <c r="B171" s="1"/>
      <c r="C171" s="1"/>
      <c r="D171" s="1"/>
    </row>
    <row r="172" ht="15.75" hidden="1" customHeight="1">
      <c r="A172" s="1"/>
      <c r="B172" s="1"/>
      <c r="C172" s="1"/>
      <c r="D172" s="1"/>
    </row>
    <row r="173" ht="15.75" hidden="1" customHeight="1">
      <c r="A173" s="1"/>
      <c r="B173" s="1"/>
      <c r="C173" s="1"/>
      <c r="D173" s="1"/>
    </row>
    <row r="174" ht="15.75" hidden="1" customHeight="1">
      <c r="A174" s="1"/>
      <c r="B174" s="1"/>
      <c r="C174" s="1"/>
      <c r="D174" s="1"/>
    </row>
    <row r="175" ht="15.75" hidden="1" customHeight="1">
      <c r="A175" s="1"/>
      <c r="B175" s="1"/>
      <c r="C175" s="1"/>
      <c r="D175" s="1"/>
    </row>
    <row r="176" ht="15.75" hidden="1" customHeight="1">
      <c r="A176" s="1"/>
      <c r="B176" s="1"/>
      <c r="C176" s="1"/>
      <c r="D176" s="1"/>
    </row>
    <row r="177" ht="15.75" hidden="1" customHeight="1">
      <c r="A177" s="1"/>
      <c r="B177" s="1"/>
      <c r="C177" s="1"/>
      <c r="D177" s="1"/>
    </row>
    <row r="178" ht="15.75" hidden="1" customHeight="1">
      <c r="A178" s="1"/>
      <c r="B178" s="1"/>
      <c r="C178" s="1"/>
      <c r="D178" s="1"/>
    </row>
    <row r="179" ht="15.75" hidden="1" customHeight="1">
      <c r="A179" s="1"/>
      <c r="B179" s="1"/>
      <c r="C179" s="1"/>
      <c r="D179" s="1"/>
    </row>
    <row r="180" ht="15.75" hidden="1" customHeight="1">
      <c r="A180" s="1"/>
      <c r="B180" s="1"/>
      <c r="C180" s="1"/>
      <c r="D180" s="1"/>
    </row>
    <row r="181" ht="15.75" hidden="1" customHeight="1">
      <c r="A181" s="1"/>
      <c r="B181" s="1"/>
      <c r="C181" s="1"/>
      <c r="D181" s="1"/>
    </row>
    <row r="182" ht="15.75" hidden="1" customHeight="1">
      <c r="A182" s="1"/>
      <c r="B182" s="1"/>
      <c r="C182" s="1"/>
      <c r="D182" s="1"/>
    </row>
    <row r="183" ht="15.75" hidden="1" customHeight="1">
      <c r="A183" s="1"/>
      <c r="B183" s="1"/>
      <c r="C183" s="1"/>
      <c r="D183" s="1"/>
    </row>
    <row r="184" ht="15.75" hidden="1" customHeight="1">
      <c r="A184" s="1"/>
      <c r="B184" s="1"/>
      <c r="C184" s="1"/>
      <c r="D184" s="1"/>
    </row>
    <row r="185" ht="15.75" hidden="1" customHeight="1">
      <c r="A185" s="1"/>
      <c r="B185" s="1"/>
      <c r="C185" s="1"/>
      <c r="D185" s="1"/>
    </row>
    <row r="186" ht="15.75" hidden="1" customHeight="1">
      <c r="A186" s="1"/>
      <c r="B186" s="1"/>
      <c r="C186" s="1"/>
      <c r="D186" s="1"/>
    </row>
    <row r="187" ht="15.75" hidden="1" customHeight="1">
      <c r="A187" s="1"/>
      <c r="B187" s="1"/>
      <c r="C187" s="1"/>
      <c r="D187" s="1"/>
    </row>
    <row r="188" ht="15.75" hidden="1" customHeight="1">
      <c r="A188" s="1"/>
      <c r="B188" s="1"/>
      <c r="C188" s="1"/>
      <c r="D188" s="1"/>
    </row>
    <row r="189" ht="15.75" hidden="1" customHeight="1">
      <c r="A189" s="1"/>
      <c r="B189" s="1"/>
      <c r="C189" s="1"/>
      <c r="D189" s="1"/>
    </row>
    <row r="190" ht="15.75" hidden="1" customHeight="1">
      <c r="A190" s="1"/>
      <c r="B190" s="1"/>
      <c r="C190" s="1"/>
      <c r="D190" s="1"/>
    </row>
    <row r="191" ht="15.75" hidden="1" customHeight="1">
      <c r="A191" s="1"/>
      <c r="B191" s="1"/>
      <c r="C191" s="1"/>
      <c r="D191" s="1"/>
    </row>
    <row r="192" ht="15.75" hidden="1" customHeight="1">
      <c r="A192" s="1"/>
      <c r="B192" s="1"/>
      <c r="C192" s="1"/>
      <c r="D192" s="1"/>
    </row>
    <row r="193" ht="15.75" hidden="1" customHeight="1">
      <c r="A193" s="1"/>
      <c r="B193" s="1"/>
      <c r="C193" s="1"/>
      <c r="D193" s="1"/>
    </row>
    <row r="194" ht="15.75" hidden="1" customHeight="1">
      <c r="A194" s="1"/>
      <c r="B194" s="1"/>
      <c r="C194" s="1"/>
      <c r="D194" s="1"/>
    </row>
    <row r="195" ht="15.75" hidden="1" customHeight="1">
      <c r="A195" s="1"/>
      <c r="B195" s="1"/>
      <c r="C195" s="1"/>
      <c r="D195" s="1"/>
    </row>
    <row r="196" ht="15.75" hidden="1" customHeight="1">
      <c r="A196" s="1"/>
      <c r="B196" s="1"/>
      <c r="C196" s="1"/>
      <c r="D196" s="1"/>
    </row>
    <row r="197" ht="15.75" hidden="1" customHeight="1">
      <c r="A197" s="1"/>
      <c r="B197" s="1"/>
      <c r="C197" s="1"/>
      <c r="D197" s="1"/>
    </row>
    <row r="198" ht="15.75" hidden="1" customHeight="1">
      <c r="A198" s="1"/>
      <c r="B198" s="1"/>
      <c r="C198" s="1"/>
      <c r="D198" s="1"/>
    </row>
    <row r="199" ht="15.75" hidden="1" customHeight="1">
      <c r="A199" s="1"/>
      <c r="B199" s="1"/>
      <c r="C199" s="1"/>
      <c r="D199" s="1"/>
    </row>
    <row r="200" ht="15.75" hidden="1" customHeight="1">
      <c r="A200" s="1"/>
      <c r="B200" s="1"/>
      <c r="C200" s="1"/>
      <c r="D200" s="1"/>
    </row>
    <row r="201" ht="15.75" hidden="1" customHeight="1">
      <c r="A201" s="1"/>
      <c r="B201" s="1"/>
      <c r="C201" s="1"/>
      <c r="D201" s="1"/>
    </row>
    <row r="202" ht="15.75" hidden="1" customHeight="1">
      <c r="A202" s="1"/>
      <c r="B202" s="1"/>
      <c r="C202" s="1"/>
      <c r="D202" s="1"/>
    </row>
    <row r="203" ht="15.75" hidden="1" customHeight="1">
      <c r="A203" s="1"/>
      <c r="B203" s="1"/>
      <c r="C203" s="1"/>
      <c r="D203" s="1"/>
    </row>
    <row r="204" ht="15.75" hidden="1" customHeight="1">
      <c r="A204" s="1"/>
      <c r="B204" s="1"/>
      <c r="C204" s="1"/>
      <c r="D204" s="1"/>
    </row>
    <row r="205" ht="15.75" hidden="1" customHeight="1">
      <c r="A205" s="1"/>
      <c r="B205" s="1"/>
      <c r="C205" s="1"/>
      <c r="D205" s="1"/>
    </row>
    <row r="206" ht="15.75" hidden="1" customHeight="1">
      <c r="A206" s="1"/>
      <c r="B206" s="1"/>
      <c r="C206" s="1"/>
      <c r="D206" s="1"/>
    </row>
    <row r="207" ht="15.75" hidden="1" customHeight="1">
      <c r="A207" s="1"/>
      <c r="B207" s="1"/>
      <c r="C207" s="1"/>
      <c r="D207" s="1"/>
    </row>
    <row r="208" ht="15.75" hidden="1" customHeight="1">
      <c r="A208" s="1"/>
      <c r="B208" s="1"/>
      <c r="C208" s="1"/>
      <c r="D208" s="1"/>
    </row>
    <row r="209" ht="15.75" hidden="1" customHeight="1">
      <c r="A209" s="1"/>
      <c r="B209" s="1"/>
      <c r="C209" s="1"/>
      <c r="D209" s="1"/>
    </row>
    <row r="210" ht="15.75" hidden="1" customHeight="1">
      <c r="A210" s="1"/>
      <c r="B210" s="1"/>
      <c r="C210" s="1"/>
      <c r="D210" s="1"/>
    </row>
    <row r="211" ht="15.75" hidden="1" customHeight="1">
      <c r="A211" s="1"/>
      <c r="B211" s="1"/>
      <c r="C211" s="1"/>
      <c r="D211" s="1"/>
    </row>
    <row r="212" ht="15.75" hidden="1" customHeight="1">
      <c r="A212" s="1"/>
      <c r="B212" s="1"/>
      <c r="C212" s="1"/>
      <c r="D212" s="1"/>
    </row>
    <row r="213" ht="15.75" hidden="1" customHeight="1">
      <c r="A213" s="1"/>
      <c r="B213" s="1"/>
      <c r="C213" s="1"/>
      <c r="D213" s="1"/>
    </row>
    <row r="214" ht="15.75" hidden="1" customHeight="1">
      <c r="A214" s="1"/>
      <c r="B214" s="1"/>
      <c r="C214" s="1"/>
      <c r="D214" s="1"/>
    </row>
    <row r="215" ht="15.75" hidden="1" customHeight="1">
      <c r="A215" s="1"/>
      <c r="B215" s="1"/>
      <c r="C215" s="1"/>
      <c r="D215" s="1"/>
    </row>
    <row r="216" ht="15.75" hidden="1" customHeight="1">
      <c r="A216" s="1"/>
      <c r="B216" s="1"/>
      <c r="C216" s="1"/>
      <c r="D216" s="1"/>
    </row>
    <row r="217" ht="15.75" hidden="1" customHeight="1">
      <c r="A217" s="1"/>
      <c r="B217" s="1"/>
      <c r="C217" s="1"/>
      <c r="D217" s="1"/>
    </row>
    <row r="218" ht="15.75" hidden="1" customHeight="1">
      <c r="A218" s="1"/>
      <c r="B218" s="1"/>
      <c r="C218" s="1"/>
      <c r="D218" s="1"/>
    </row>
    <row r="219" ht="15.75" hidden="1" customHeight="1">
      <c r="A219" s="1"/>
      <c r="B219" s="1"/>
      <c r="C219" s="1"/>
      <c r="D219" s="1"/>
    </row>
    <row r="220" ht="15.75" hidden="1" customHeight="1">
      <c r="A220" s="1"/>
      <c r="B220" s="1"/>
      <c r="C220" s="1"/>
      <c r="D220" s="1"/>
    </row>
    <row r="221" ht="15.75" hidden="1" customHeight="1">
      <c r="A221" s="1"/>
      <c r="B221" s="1"/>
      <c r="C221" s="1"/>
      <c r="D221" s="1"/>
    </row>
    <row r="222" ht="15.75" hidden="1" customHeight="1">
      <c r="A222" s="1"/>
      <c r="B222" s="1"/>
      <c r="C222" s="1"/>
      <c r="D222" s="1"/>
    </row>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B19:D19"/>
    <mergeCell ref="B20:D20"/>
    <mergeCell ref="B22:D22"/>
    <mergeCell ref="B24:D24"/>
    <mergeCell ref="B12:D12"/>
    <mergeCell ref="B13:D13"/>
    <mergeCell ref="B14:D14"/>
    <mergeCell ref="B15:D15"/>
    <mergeCell ref="B16:D16"/>
    <mergeCell ref="B17:D17"/>
    <mergeCell ref="B18:D18"/>
  </mergeCells>
  <printOptions/>
  <pageMargins bottom="0.75" footer="0.0" header="0.0" left="0.7" right="0.7" top="0.75"/>
  <pageSetup orientation="landscape"/>
  <drawing r:id="rId1"/>
</worksheet>
</file>