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Budget Input" sheetId="2" r:id="rId6"/>
    <sheet state="visible" name="Feedback" sheetId="3" r:id="rId7"/>
    <sheet state="visible" name="License" sheetId="4" r:id="rId8"/>
    <sheet state="hidden" name="Lists" sheetId="5" r:id="rId9"/>
  </sheets>
  <definedNames/>
  <calcPr/>
</workbook>
</file>

<file path=xl/sharedStrings.xml><?xml version="1.0" encoding="utf-8"?>
<sst xmlns="http://schemas.openxmlformats.org/spreadsheetml/2006/main" count="236" uniqueCount="151">
  <si>
    <t xml:space="preserve">  In The Black — Essentials Toolkit</t>
  </si>
  <si>
    <t>Your all-in-one personal finance system.</t>
  </si>
  <si>
    <t>IN THE BLACK BUDGET</t>
  </si>
  <si>
    <t>START HERE | QUICK SETUP</t>
  </si>
  <si>
    <t xml:space="preserve">  Monthly Budget Inputs</t>
  </si>
  <si>
    <t>Essentials Toolkit — License &amp; Terms of Use</t>
  </si>
  <si>
    <t>Product:</t>
  </si>
  <si>
    <t>In The Black Essentials Toolkit</t>
  </si>
  <si>
    <t>Version:</t>
  </si>
  <si>
    <t>1.0</t>
  </si>
  <si>
    <t>License Type:</t>
  </si>
  <si>
    <t>Personal Use</t>
  </si>
  <si>
    <t>License ID:</t>
  </si>
  <si>
    <t>ITB-XXXXXXXX</t>
  </si>
  <si>
    <t>Licensed To:</t>
  </si>
  <si>
    <t>Customer Name / Email</t>
  </si>
  <si>
    <t>Terms of Use</t>
  </si>
  <si>
    <t>1. License Grant</t>
  </si>
  <si>
    <t>These Legal Terms constitute a legally binding agreement made between you, whether personally or on behalf of any entity, and In The Black Budget LLC. You agree that by accessing the Services, you have read, understood, and agreed to be bound by all of these Legal Terms. Subject to payment and compliance with these terms, the purchaser receives a limited, non-exclusive, non-transferable license to use one licensed copy of the In The Black Essentials Toolkit for the purchaser's own personal, non-commercial financial planning and budgeting purposes.</t>
  </si>
  <si>
    <t>INPUT</t>
  </si>
  <si>
    <t>CATEGORY</t>
  </si>
  <si>
    <t>MONTHLY PAYMENT</t>
  </si>
  <si>
    <t>#</t>
  </si>
  <si>
    <t>PAYMENT METHOD</t>
  </si>
  <si>
    <t>NOTES</t>
  </si>
  <si>
    <t>TOTALS</t>
  </si>
  <si>
    <t>Task</t>
  </si>
  <si>
    <t>Done?</t>
  </si>
  <si>
    <t>Notes</t>
  </si>
  <si>
    <t>2. Ownership</t>
  </si>
  <si>
    <t>The workbook, including its original content, structure, design, formulas, calculations, graphics, instructions, and other original materials, is owned by or licensed to In The Black Budget LLC and is protected by applicable intellectual-property laws. Purchase of the workbook does not transfer ownership of the underlying intellectual property to the purchaser.</t>
  </si>
  <si>
    <t>3. Restrictions</t>
  </si>
  <si>
    <t>Except as expressly permitted by In The Black in writing, the purchaser may not sell, resell, sublicense, assign, transfer, publish, upload, distribute, share, reproduce, or otherwise make the workbook or a substantial portion of it available to another person or the public. The purchaser may not use the workbook to create or distribute a competing commercial product.</t>
  </si>
  <si>
    <t xml:space="preserve">Fill out the Budget Input tab. Ensure to include your debt payments to this tab. You do not need to input anything into the "TOTALS" table. That will update automatically. </t>
  </si>
  <si>
    <t>4. Personal Use</t>
  </si>
  <si>
    <t>The license is intended for the individual purchaser's personal use. A separate license should be obtained for another individual, household arrangement, business, employer, client, or other commercial use where applicable.</t>
  </si>
  <si>
    <t>5. License Identification</t>
  </si>
  <si>
    <t>Each distributed copy contains a unique License ID and other identifying information associated with the purchaser. This information may be used for license administration, customer support, fraud prevention, and investigation of unauthorized redistribution.</t>
  </si>
  <si>
    <t>6. Updates and Support</t>
  </si>
  <si>
    <t>Updates, revisions, support, and other services, if offered, may be subject to separate terms and may depend on the purchaser maintaining a valid license.</t>
  </si>
  <si>
    <t>7. Disclaimer</t>
  </si>
  <si>
    <t>The workbook is an educational and organizational tool and is not a substitute for individualized financial, tax, legal, investment, lending, or other professional advice. Users are responsible for evaluating information and decisions applicable to their circumstances.</t>
  </si>
  <si>
    <t>Review the Feedback page to see your starting point.</t>
  </si>
  <si>
    <t>Income</t>
  </si>
  <si>
    <t>8. Unauthorized Distribution</t>
  </si>
  <si>
    <t>Revisit as much as you would like and watch your numbers trend.</t>
  </si>
  <si>
    <t>Unauthorized distribution or commercial use may result in suspension or termination of the license and may lead to enforcement of applicable contractual and intellectual-property rights.</t>
  </si>
  <si>
    <t>9. Acceptance</t>
  </si>
  <si>
    <t>By purchasing, downloading, accessing, or using the workbook, the user acknowledges that the workbook is licensed rather than sold as an assignment of intellectual-property ownership and agrees to comply with the applicable Terms of Use presented at the time of purchase.</t>
  </si>
  <si>
    <t>Salary/Wages</t>
  </si>
  <si>
    <t>LEGEND &amp; INPUT GUIDE</t>
  </si>
  <si>
    <t>Yellow cells — Edit these cells with your own numbers.</t>
  </si>
  <si>
    <t>Bank</t>
  </si>
  <si>
    <t>Copyright Notice</t>
  </si>
  <si>
    <t>© 2026 In The Black. All rights reserved. This workbook is a licensed digital product.</t>
  </si>
  <si>
    <t>Monthly Income</t>
  </si>
  <si>
    <t xml:space="preserve">Blue cells — Benchmark numbers; edit these cells. </t>
  </si>
  <si>
    <t>Green rows — Income.</t>
  </si>
  <si>
    <t>Red rows — Expenses.</t>
  </si>
  <si>
    <t>Expense</t>
  </si>
  <si>
    <t>Housing</t>
  </si>
  <si>
    <t>Monthly Expenses</t>
  </si>
  <si>
    <t>Transportation</t>
  </si>
  <si>
    <t>Credit Card</t>
  </si>
  <si>
    <t>Gas + Bus Pass</t>
  </si>
  <si>
    <t>Monthly Taxes</t>
  </si>
  <si>
    <t>Food</t>
  </si>
  <si>
    <t>Monthly Investing</t>
  </si>
  <si>
    <t>Gray rows — Taxes.</t>
  </si>
  <si>
    <t>Utilities</t>
  </si>
  <si>
    <t>Purple rows — Investing.</t>
  </si>
  <si>
    <t>Water + Electric</t>
  </si>
  <si>
    <t>Monthly Subscriptions</t>
  </si>
  <si>
    <t>Light Yellow — Subscriptions.</t>
  </si>
  <si>
    <t>Black</t>
  </si>
  <si>
    <t>Black text — Automatic calculations; avoid typing over formulas.</t>
  </si>
  <si>
    <t>Green</t>
  </si>
  <si>
    <t>Green text — Pulled automatically from another tab.</t>
  </si>
  <si>
    <t>Insurance</t>
  </si>
  <si>
    <t>Auto + Renters</t>
  </si>
  <si>
    <t>Monthly Surplus</t>
  </si>
  <si>
    <t>A NOTE ON THE GUIDANCE</t>
  </si>
  <si>
    <t>This toolkit uses common personal-finance rules of thumb (for example, keeping housing costs around 30% of income) to provide an educational read on your finances. It is NOT personalized financial advice. Every household is different, and the benchmark assumptions can be adjusted to fit your situation. Use this workbook to identify patterns, find the source of issues, compare results against benchmarks you choose, and build a financial system that works for you.</t>
  </si>
  <si>
    <t>Personal &amp; Discretionary</t>
  </si>
  <si>
    <t xml:space="preserve">  Your Budget Dashboard &amp; Feedback</t>
  </si>
  <si>
    <t>Monthly Investing Rate</t>
  </si>
  <si>
    <t>Yes</t>
  </si>
  <si>
    <t>Monthly</t>
  </si>
  <si>
    <t>TIPS</t>
  </si>
  <si>
    <t>Side Income</t>
  </si>
  <si>
    <t>No</t>
  </si>
  <si>
    <t>SUMMARY</t>
  </si>
  <si>
    <t>Annual</t>
  </si>
  <si>
    <t>Change your numbers in the source tabs — the Feedback tab updates automatically with the exception of the blue benchmark cells. You set those.</t>
  </si>
  <si>
    <t>Taxes</t>
  </si>
  <si>
    <t>Other Income</t>
  </si>
  <si>
    <t>Investing</t>
  </si>
  <si>
    <t>Total Monthly Income</t>
  </si>
  <si>
    <t>Automatic calculation cells are designed to update themselves. They are also designed to be protected. If you customize the workbook, make a copy first so you always have a clean master version.</t>
  </si>
  <si>
    <t>Subscriptions</t>
  </si>
  <si>
    <t>The point of this spreadsheet is to serve you. To put you in charge of your finances and keep you in charge. Feel free to change things about this sheet if it helps you understand things more, or cosmetically fits you better. If you are having trouble changing things to be the way you want them to be, reach out and we'll be happy to help!</t>
  </si>
  <si>
    <t>The more honest you are with yourself about the inputs in this workbook, the better and faster this product will help you reach your goals.</t>
  </si>
  <si>
    <t>Other</t>
  </si>
  <si>
    <t>Total Monthly Expenses</t>
  </si>
  <si>
    <t>Federal</t>
  </si>
  <si>
    <t>This workbook comes preloaded with example numbers so you can see how the system works together. Replace the example inputs with your own information before relying on the results—especially on Budget Input tab, where example values can otherwise affect your totals.</t>
  </si>
  <si>
    <t>State</t>
  </si>
  <si>
    <t>Debt Payments</t>
  </si>
  <si>
    <t>In The Black — Essentials Toolkit Version 1.0</t>
  </si>
  <si>
    <t>Social Security</t>
  </si>
  <si>
    <t>Auto Loan</t>
  </si>
  <si>
    <t>Monthly Surplus / Deficit</t>
  </si>
  <si>
    <t>Medicare</t>
  </si>
  <si>
    <t>Retirement</t>
  </si>
  <si>
    <t>Brokerage</t>
  </si>
  <si>
    <t>Investing Rate (Investing ÷ Income)</t>
  </si>
  <si>
    <t>Emergency Fund</t>
  </si>
  <si>
    <t>College Fund</t>
  </si>
  <si>
    <t>401(k)</t>
  </si>
  <si>
    <t>TSP</t>
  </si>
  <si>
    <t>EXPENSE BREAKDOWN vs. RECOMMENDED GUIDELINES</t>
  </si>
  <si>
    <t>Category</t>
  </si>
  <si>
    <t>Monthly Amount</t>
  </si>
  <si>
    <t>% of Income</t>
  </si>
  <si>
    <t>Benchmark</t>
  </si>
  <si>
    <t>Direction</t>
  </si>
  <si>
    <t>Status</t>
  </si>
  <si>
    <t>Max</t>
  </si>
  <si>
    <t>SUBSCRIPTIONS DETAIL  (optional — helps track each individual service)</t>
  </si>
  <si>
    <t>TYPE</t>
  </si>
  <si>
    <t>SERVICE</t>
  </si>
  <si>
    <t>ACTUAL PAID</t>
  </si>
  <si>
    <t>ORIGINAL PRICE</t>
  </si>
  <si>
    <t>FREQUENCY</t>
  </si>
  <si>
    <t>CANCEL?</t>
  </si>
  <si>
    <t>Subscription</t>
  </si>
  <si>
    <t>Spotify</t>
  </si>
  <si>
    <t>Uber One</t>
  </si>
  <si>
    <t>Apple Music</t>
  </si>
  <si>
    <t>SUBSCRIPTIONS INSIGHT</t>
  </si>
  <si>
    <t>Total Monthly Subscription Cost (detail list)</t>
  </si>
  <si>
    <t>Estimated Annual Subscription Cost</t>
  </si>
  <si>
    <t>Active Subscriptions Count</t>
  </si>
  <si>
    <t>Subscriptions Feedback</t>
  </si>
  <si>
    <t>OVERALL FEEDBACK</t>
  </si>
  <si>
    <t>Cash Flow</t>
  </si>
  <si>
    <t>Investing Rate</t>
  </si>
  <si>
    <t>Tip: Original Price is the price of the subscription / Actual Paid is the price paid (for example, if you had a credit card benefit that pays for your Apple TV, this value would be $0.00).</t>
  </si>
  <si>
    <t>VISUAL SUMMARY</t>
  </si>
  <si>
    <t>For visual learners — these update automatically as you fill in the Budget Input tab.</t>
  </si>
  <si>
    <t>Tip: Original Price must be filled out for the appropriate subscription for the subscription count on the Feedback tab to correctly compute.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</si>
</sst>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quot;($&quot;#,##0.00\)"/>
    <numFmt numFmtId="165" formatCode="0.0%"/>
  </numFmts>
  <fonts count="19">
    <font>
      <sz val="11.0"/>
      <color theme="1"/>
      <name val="Calibri"/>
      <scheme val="minor"/>
    </font>
    <font>
      <sz val="11.0"/>
      <color theme="1"/>
      <name val="Calibri"/>
    </font>
    <font>
      <b/>
      <sz val="16.0"/>
      <color rgb="FFFFFFFF"/>
      <name val="Arial"/>
    </font>
    <font>
      <sz val="11.0"/>
      <color theme="1"/>
      <name val="Arial"/>
    </font>
    <font>
      <b/>
      <sz val="18.0"/>
      <color theme="1"/>
      <name val="Calibri"/>
    </font>
    <font>
      <b/>
      <sz val="13.0"/>
      <color theme="1"/>
      <name val="Calibri"/>
    </font>
    <font>
      <b/>
      <sz val="11.0"/>
      <color theme="1"/>
      <name val="Calibri"/>
    </font>
    <font>
      <b/>
      <sz val="11.0"/>
      <color rgb="FFFFFFFF"/>
      <name val="Arial"/>
    </font>
    <font>
      <sz val="10.0"/>
      <color rgb="FF000000"/>
      <name val="Arial"/>
    </font>
    <font/>
    <font>
      <sz val="10.0"/>
      <color theme="1"/>
      <name val="Arial"/>
    </font>
    <font>
      <b/>
      <sz val="10.0"/>
      <color rgb="FF000000"/>
      <name val="Arial"/>
    </font>
    <font>
      <sz val="11.0"/>
      <color rgb="FF1E5A38"/>
      <name val="Arial"/>
    </font>
    <font>
      <b/>
      <sz val="10.0"/>
      <color theme="1"/>
      <name val="Arial"/>
    </font>
    <font>
      <b/>
      <sz val="11.0"/>
      <color rgb="FF54818E"/>
      <name val="Arial"/>
    </font>
    <font>
      <i/>
      <sz val="9.0"/>
      <color rgb="FF808080"/>
      <name val="Arial"/>
    </font>
    <font>
      <sz val="10.0"/>
      <color rgb="FF0000FF"/>
      <name val="Arial"/>
    </font>
    <font>
      <sz val="10.0"/>
      <color rgb="FF1E5A38"/>
      <name val="Arial"/>
    </font>
    <font>
      <sz val="10.0"/>
      <color rgb="FF008000"/>
      <name val="Arial"/>
    </font>
  </fonts>
  <fills count="16">
    <fill>
      <patternFill patternType="none"/>
    </fill>
    <fill>
      <patternFill patternType="lightGray"/>
    </fill>
    <fill>
      <patternFill patternType="solid">
        <fgColor rgb="FF54818E"/>
        <bgColor rgb="FF54818E"/>
      </patternFill>
    </fill>
    <fill>
      <patternFill patternType="solid">
        <fgColor rgb="FF45818E"/>
        <bgColor rgb="FF45818E"/>
      </patternFill>
    </fill>
    <fill>
      <patternFill patternType="solid">
        <fgColor rgb="FFD9E1F2"/>
        <bgColor rgb="FFD9E1F2"/>
      </patternFill>
    </fill>
    <fill>
      <patternFill patternType="solid">
        <fgColor rgb="FFFFFF00"/>
        <bgColor rgb="FFFFFF00"/>
      </patternFill>
    </fill>
    <fill>
      <patternFill patternType="solid">
        <fgColor rgb="FFC6EFCE"/>
        <bgColor rgb="FFC6EFCE"/>
      </patternFill>
    </fill>
    <fill>
      <patternFill patternType="solid">
        <fgColor rgb="FFDDEBF7"/>
        <bgColor rgb="FFDDEBF7"/>
      </patternFill>
    </fill>
    <fill>
      <patternFill patternType="solid">
        <fgColor rgb="FFF7C8CF"/>
        <bgColor rgb="FFF7C8CF"/>
      </patternFill>
    </fill>
    <fill>
      <patternFill patternType="solid">
        <fgColor rgb="FFFFC7CE"/>
        <bgColor rgb="FFFFC7CE"/>
      </patternFill>
    </fill>
    <fill>
      <patternFill patternType="solid">
        <fgColor rgb="FFF2F2F2"/>
        <bgColor rgb="FFF2F2F2"/>
      </patternFill>
    </fill>
    <fill>
      <patternFill patternType="solid">
        <fgColor rgb="FFD9D2E9"/>
        <bgColor rgb="FFD9D2E9"/>
      </patternFill>
    </fill>
    <fill>
      <patternFill patternType="solid">
        <fgColor rgb="FFFFE599"/>
        <bgColor rgb="FFFFE599"/>
      </patternFill>
    </fill>
    <fill>
      <patternFill patternType="solid">
        <fgColor rgb="FF5E818E"/>
        <bgColor rgb="FF5E818E"/>
      </patternFill>
    </fill>
    <fill>
      <patternFill patternType="solid">
        <fgColor rgb="FFD8D2E9"/>
        <bgColor rgb="FFD8D2E9"/>
      </patternFill>
    </fill>
    <fill>
      <patternFill patternType="solid">
        <fgColor rgb="FFCDEECE"/>
        <bgColor rgb="FFCDEECE"/>
      </patternFill>
    </fill>
  </fills>
  <borders count="2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BFBFBF"/>
      </left>
      <right style="thin">
        <color rgb="FFBFBFBF"/>
      </right>
      <top style="thin">
        <color rgb="FFBFBFBF"/>
      </top>
      <bottom style="thin">
        <color rgb="FFBFBFBF"/>
      </bottom>
    </border>
    <border>
      <top style="thin">
        <color rgb="FF000000"/>
      </top>
      <bottom style="thin">
        <color rgb="FF000000"/>
      </bottom>
    </border>
    <border>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left style="thin">
        <color rgb="FFBFBFBF"/>
      </left>
      <right style="thin">
        <color rgb="FFBFBFBF"/>
      </right>
      <bottom style="thin">
        <color rgb="FFBFBFBF"/>
      </bottom>
    </border>
    <border>
      <left style="thin">
        <color rgb="FFCCCCCC"/>
      </left>
      <top style="thin">
        <color rgb="FFCCCCCC"/>
      </top>
      <bottom style="thin">
        <color rgb="FFCCCCCC"/>
      </bottom>
    </border>
    <border>
      <top style="thin">
        <color rgb="FFCCCCCC"/>
      </top>
      <bottom style="thin">
        <color rgb="FFCCCCCC"/>
      </bottom>
    </border>
    <border>
      <left style="thin">
        <color rgb="FF999999"/>
      </left>
      <right style="thin">
        <color rgb="FF999999"/>
      </right>
      <top style="thin">
        <color rgb="FF999999"/>
      </top>
      <bottom style="thin">
        <color rgb="FF999999"/>
      </bottom>
    </border>
    <border>
      <right style="thin">
        <color rgb="FFCCCCCC"/>
      </right>
      <top style="thin">
        <color rgb="FFCCCCCC"/>
      </top>
      <bottom style="thin">
        <color rgb="FFCCCCCC"/>
      </bottom>
    </border>
    <border>
      <left style="thin">
        <color rgb="FFB7B7B7"/>
      </left>
      <top style="thin">
        <color rgb="FFB7B7B7"/>
      </top>
    </border>
    <border>
      <top style="thin">
        <color rgb="FFB7B7B7"/>
      </top>
    </border>
    <border>
      <right style="thin">
        <color rgb="FFB7B7B7"/>
      </right>
      <top style="thin">
        <color rgb="FFB7B7B7"/>
      </top>
    </border>
    <border>
      <left style="thin">
        <color rgb="FFB7B7B7"/>
      </left>
      <bottom style="thin">
        <color rgb="FFB7B7B7"/>
      </bottom>
    </border>
    <border>
      <bottom style="thin">
        <color rgb="FFB7B7B7"/>
      </bottom>
    </border>
    <border>
      <right style="thin">
        <color rgb="FFB7B7B7"/>
      </right>
      <bottom style="thin">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7B7B7"/>
      </left>
      <right style="thin">
        <color rgb="FFB7B7B7"/>
      </right>
      <top style="thin">
        <color rgb="FFB7B7B7"/>
      </top>
      <bottom style="thin">
        <color rgb="FFB7B7B7"/>
      </bottom>
    </border>
    <border>
      <top style="thin">
        <color rgb="FFBFBFBF"/>
      </top>
      <bottom style="thin">
        <color rgb="FFBFBFBF"/>
      </bottom>
    </border>
    <border>
      <left style="thin">
        <color rgb="FF999999"/>
      </left>
      <top style="thin">
        <color rgb="FF999999"/>
      </top>
      <bottom style="thin">
        <color rgb="FF999999"/>
      </bottom>
    </border>
    <border>
      <top style="thin">
        <color rgb="FF999999"/>
      </top>
      <bottom style="thin">
        <color rgb="FF999999"/>
      </bottom>
    </border>
    <border>
      <right style="thin">
        <color rgb="FF999999"/>
      </right>
      <top style="thin">
        <color rgb="FF999999"/>
      </top>
      <bottom style="thin">
        <color rgb="FF999999"/>
      </bottom>
    </border>
  </borders>
  <cellStyleXfs count="1">
    <xf borderId="0" fillId="0" fontId="0" numFmtId="0" applyAlignment="1" applyFont="1"/>
  </cellStyleXfs>
  <cellXfs count="110">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2" fontId="2" numFmtId="0" xfId="0" applyFill="1" applyFont="1"/>
    <xf borderId="0" fillId="0" fontId="3" numFmtId="0" xfId="0" applyAlignment="1" applyFont="1">
      <alignment shrinkToFit="0" wrapText="1"/>
    </xf>
    <xf borderId="0" fillId="0" fontId="4" numFmtId="0" xfId="0" applyAlignment="1" applyFont="1">
      <alignment shrinkToFit="0" vertical="bottom" wrapText="0"/>
    </xf>
    <xf borderId="0" fillId="2" fontId="2" numFmtId="0" xfId="0" applyAlignment="1" applyFont="1">
      <alignment horizontal="left" shrinkToFit="0" vertical="center" wrapText="0"/>
    </xf>
    <xf borderId="0" fillId="0" fontId="5" numFmtId="0" xfId="0" applyAlignment="1" applyFont="1">
      <alignment shrinkToFit="0" vertical="bottom" wrapText="0"/>
    </xf>
    <xf borderId="1" fillId="0" fontId="6" numFmtId="0" xfId="0" applyAlignment="1" applyBorder="1" applyFont="1">
      <alignment shrinkToFit="0" vertical="center" wrapText="1"/>
    </xf>
    <xf borderId="1" fillId="0" fontId="1" numFmtId="0" xfId="0" applyAlignment="1" applyBorder="1" applyFont="1">
      <alignment shrinkToFit="0" vertical="center" wrapText="1"/>
    </xf>
    <xf borderId="1" fillId="0" fontId="6" numFmtId="0" xfId="0" applyAlignment="1" applyBorder="1" applyFont="1">
      <alignment shrinkToFit="0" vertical="center" wrapText="0"/>
    </xf>
    <xf borderId="0" fillId="2" fontId="7" numFmtId="0" xfId="0" applyAlignment="1" applyFont="1">
      <alignment horizontal="left" shrinkToFit="0" vertical="center" wrapText="0"/>
    </xf>
    <xf borderId="0" fillId="3" fontId="7" numFmtId="0" xfId="0" applyAlignment="1" applyFill="1" applyFont="1">
      <alignment horizontal="left" shrinkToFit="0" vertical="bottom" wrapText="0"/>
    </xf>
    <xf borderId="2" fillId="0" fontId="1" numFmtId="0" xfId="0" applyAlignment="1" applyBorder="1" applyFont="1">
      <alignment shrinkToFit="0" vertical="center" wrapText="1"/>
    </xf>
    <xf borderId="3" fillId="4" fontId="8" numFmtId="0" xfId="0" applyAlignment="1" applyBorder="1" applyFill="1" applyFont="1">
      <alignment horizontal="center" shrinkToFit="0" vertical="center" wrapText="0"/>
    </xf>
    <xf borderId="0" fillId="3" fontId="7" numFmtId="0" xfId="0" applyAlignment="1" applyFont="1">
      <alignment horizontal="left" shrinkToFit="0" vertical="center" wrapText="0"/>
    </xf>
    <xf borderId="4" fillId="0" fontId="9" numFmtId="0" xfId="0" applyBorder="1" applyFont="1"/>
    <xf borderId="3" fillId="4" fontId="8" numFmtId="0" xfId="0" applyAlignment="1" applyBorder="1" applyFont="1">
      <alignment horizontal="left" shrinkToFit="0" vertical="center" wrapText="0"/>
    </xf>
    <xf borderId="5" fillId="0" fontId="9" numFmtId="0" xfId="0" applyBorder="1" applyFont="1"/>
    <xf borderId="6" fillId="0" fontId="3" numFmtId="0" xfId="0" applyAlignment="1" applyBorder="1" applyFont="1">
      <alignment horizontal="center"/>
    </xf>
    <xf borderId="6" fillId="0" fontId="3" numFmtId="0" xfId="0" applyAlignment="1" applyBorder="1" applyFont="1">
      <alignment shrinkToFit="0" wrapText="1"/>
    </xf>
    <xf borderId="6" fillId="5" fontId="1" numFmtId="0" xfId="0" applyAlignment="1" applyBorder="1" applyFill="1" applyFont="1">
      <alignment shrinkToFit="0" vertical="bottom" wrapText="0"/>
    </xf>
    <xf borderId="6" fillId="0" fontId="1" numFmtId="0" xfId="0" applyAlignment="1" applyBorder="1" applyFont="1">
      <alignment shrinkToFit="0" vertical="bottom" wrapText="0"/>
    </xf>
    <xf borderId="7" fillId="5" fontId="8" numFmtId="0" xfId="0" applyAlignment="1" applyBorder="1" applyFont="1">
      <alignment readingOrder="0" shrinkToFit="0" vertical="center" wrapText="0"/>
    </xf>
    <xf borderId="0" fillId="0" fontId="1" numFmtId="0" xfId="0" applyAlignment="1" applyFont="1">
      <alignment horizontal="left" shrinkToFit="0" vertical="center" wrapText="0"/>
    </xf>
    <xf borderId="7" fillId="6" fontId="10" numFmtId="164" xfId="0" applyAlignment="1" applyBorder="1" applyFill="1" applyFont="1" applyNumberFormat="1">
      <alignment horizontal="right" vertical="bottom"/>
    </xf>
    <xf borderId="0" fillId="0" fontId="1" numFmtId="0" xfId="0" applyAlignment="1" applyFont="1">
      <alignment shrinkToFit="0" vertical="center" wrapText="0"/>
    </xf>
    <xf borderId="7" fillId="6" fontId="10" numFmtId="0" xfId="0" applyAlignment="1" applyBorder="1" applyFont="1">
      <alignment vertical="bottom"/>
    </xf>
    <xf borderId="8" fillId="0" fontId="3" numFmtId="0" xfId="0" applyAlignment="1" applyBorder="1" applyFont="1">
      <alignment shrinkToFit="0" vertical="bottom" wrapText="1"/>
    </xf>
    <xf borderId="7" fillId="5" fontId="8" numFmtId="0" xfId="0" applyAlignment="1" applyBorder="1" applyFont="1">
      <alignment shrinkToFit="0" vertical="center" wrapText="0"/>
    </xf>
    <xf borderId="9" fillId="0" fontId="9" numFmtId="0" xfId="0" applyBorder="1" applyFont="1"/>
    <xf borderId="2" fillId="0" fontId="1" numFmtId="0" xfId="0" applyAlignment="1" applyBorder="1" applyFont="1">
      <alignment shrinkToFit="0" vertical="bottom" wrapText="1"/>
    </xf>
    <xf borderId="10" fillId="0" fontId="11" numFmtId="0" xfId="0" applyAlignment="1" applyBorder="1" applyFont="1">
      <alignment shrinkToFit="0" vertical="center" wrapText="0"/>
    </xf>
    <xf borderId="11" fillId="0" fontId="9" numFmtId="0" xfId="0" applyBorder="1" applyFont="1"/>
    <xf borderId="0" fillId="0" fontId="6" numFmtId="0" xfId="0" applyAlignment="1" applyFont="1">
      <alignment shrinkToFit="0" vertical="bottom" wrapText="0"/>
    </xf>
    <xf borderId="0" fillId="0" fontId="1" numFmtId="0" xfId="0" applyAlignment="1" applyFont="1">
      <alignment shrinkToFit="0" vertical="top" wrapText="1"/>
    </xf>
    <xf borderId="6" fillId="7" fontId="1" numFmtId="0" xfId="0" applyAlignment="1" applyBorder="1" applyFill="1" applyFont="1">
      <alignment shrinkToFit="0" vertical="bottom" wrapText="0"/>
    </xf>
    <xf borderId="6" fillId="6" fontId="1" numFmtId="0" xfId="0" applyAlignment="1" applyBorder="1" applyFont="1">
      <alignment shrinkToFit="0" vertical="bottom" wrapText="0"/>
    </xf>
    <xf borderId="6" fillId="8" fontId="1" numFmtId="0" xfId="0" applyAlignment="1" applyBorder="1" applyFill="1" applyFont="1">
      <alignment shrinkToFit="0" vertical="bottom" wrapText="0"/>
    </xf>
    <xf borderId="10" fillId="6" fontId="11" numFmtId="164" xfId="0" applyAlignment="1" applyBorder="1" applyFont="1" applyNumberFormat="1">
      <alignment shrinkToFit="0" vertical="center" wrapText="0"/>
    </xf>
    <xf borderId="3" fillId="5" fontId="8" numFmtId="0" xfId="0" applyAlignment="1" applyBorder="1" applyFont="1">
      <alignment readingOrder="0" shrinkToFit="0" vertical="center" wrapText="0"/>
    </xf>
    <xf borderId="3" fillId="9" fontId="10" numFmtId="164" xfId="0" applyAlignment="1" applyBorder="1" applyFill="1" applyFont="1" applyNumberFormat="1">
      <alignment horizontal="right" vertical="bottom"/>
    </xf>
    <xf borderId="3" fillId="9" fontId="10" numFmtId="0" xfId="0" applyAlignment="1" applyBorder="1" applyFont="1">
      <alignment vertical="bottom"/>
    </xf>
    <xf borderId="3" fillId="5" fontId="8" numFmtId="0" xfId="0" applyAlignment="1" applyBorder="1" applyFont="1">
      <alignment shrinkToFit="0" vertical="center" wrapText="0"/>
    </xf>
    <xf borderId="10" fillId="9" fontId="11" numFmtId="164" xfId="0" applyAlignment="1" applyBorder="1" applyFont="1" applyNumberFormat="1">
      <alignment shrinkToFit="0" vertical="center" wrapText="0"/>
    </xf>
    <xf borderId="10" fillId="10" fontId="11" numFmtId="164" xfId="0" applyAlignment="1" applyBorder="1" applyFill="1" applyFont="1" applyNumberFormat="1">
      <alignment shrinkToFit="0" vertical="center" wrapText="0"/>
    </xf>
    <xf borderId="6" fillId="10" fontId="1" numFmtId="0" xfId="0" applyAlignment="1" applyBorder="1" applyFont="1">
      <alignment shrinkToFit="0" vertical="bottom" wrapText="0"/>
    </xf>
    <xf borderId="10" fillId="11" fontId="11" numFmtId="164" xfId="0" applyAlignment="1" applyBorder="1" applyFill="1" applyFont="1" applyNumberFormat="1">
      <alignment shrinkToFit="0" vertical="center" wrapText="0"/>
    </xf>
    <xf borderId="6" fillId="11" fontId="1" numFmtId="0" xfId="0" applyAlignment="1" applyBorder="1" applyFont="1">
      <alignment shrinkToFit="0" vertical="bottom" wrapText="0"/>
    </xf>
    <xf borderId="6" fillId="12" fontId="1" numFmtId="0" xfId="0" applyAlignment="1" applyBorder="1" applyFill="1" applyFont="1">
      <alignment shrinkToFit="0" vertical="bottom" wrapText="0"/>
    </xf>
    <xf borderId="6" fillId="0" fontId="3" numFmtId="0" xfId="0" applyAlignment="1" applyBorder="1" applyFont="1">
      <alignment shrinkToFit="0" vertical="bottom" wrapText="0"/>
    </xf>
    <xf borderId="10" fillId="12" fontId="11" numFmtId="164" xfId="0" applyAlignment="1" applyBorder="1" applyFont="1" applyNumberFormat="1">
      <alignment shrinkToFit="0" vertical="center" wrapText="0"/>
    </xf>
    <xf borderId="6" fillId="0" fontId="12" numFmtId="0" xfId="0" applyAlignment="1" applyBorder="1" applyFont="1">
      <alignment shrinkToFit="0" vertical="bottom" wrapText="0"/>
    </xf>
    <xf borderId="12" fillId="0" fontId="3" numFmtId="0" xfId="0" applyAlignment="1" applyBorder="1" applyFont="1">
      <alignment shrinkToFit="0" vertical="top" wrapText="1"/>
    </xf>
    <xf borderId="13" fillId="0" fontId="9" numFmtId="0" xfId="0" applyBorder="1" applyFont="1"/>
    <xf borderId="14" fillId="0" fontId="9" numFmtId="0" xfId="0" applyBorder="1" applyFont="1"/>
    <xf borderId="15" fillId="0" fontId="9" numFmtId="0" xfId="0" applyBorder="1" applyFont="1"/>
    <xf borderId="3" fillId="9" fontId="10" numFmtId="164" xfId="0" applyAlignment="1" applyBorder="1" applyFont="1" applyNumberFormat="1">
      <alignment horizontal="right" readingOrder="0" vertical="bottom"/>
    </xf>
    <xf borderId="0" fillId="0" fontId="3" numFmtId="0" xfId="0" applyAlignment="1" applyFont="1">
      <alignment shrinkToFit="0" vertical="bottom" wrapText="0"/>
    </xf>
    <xf borderId="0" fillId="13" fontId="2" numFmtId="0" xfId="0" applyAlignment="1" applyFill="1" applyFont="1">
      <alignment horizontal="left" shrinkToFit="0" vertical="center" wrapText="0"/>
    </xf>
    <xf borderId="16" fillId="0" fontId="9" numFmtId="0" xfId="0" applyBorder="1" applyFont="1"/>
    <xf borderId="17" fillId="0" fontId="9" numFmtId="0" xfId="0" applyBorder="1" applyFont="1"/>
    <xf borderId="0" fillId="0" fontId="7" numFmtId="0" xfId="0" applyAlignment="1" applyFont="1">
      <alignment horizontal="left" shrinkToFit="0" vertical="center" wrapText="0"/>
    </xf>
    <xf borderId="10" fillId="0" fontId="13" numFmtId="0" xfId="0" applyAlignment="1" applyBorder="1" applyFont="1">
      <alignment shrinkToFit="0" vertical="bottom" wrapText="0"/>
    </xf>
    <xf borderId="18" fillId="0" fontId="14" numFmtId="0" xfId="0" applyAlignment="1" applyBorder="1" applyFont="1">
      <alignment shrinkToFit="0" vertical="center" wrapText="1"/>
    </xf>
    <xf borderId="3" fillId="0" fontId="11" numFmtId="0" xfId="0" applyAlignment="1" applyBorder="1" applyFont="1">
      <alignment shrinkToFit="0" vertical="center" wrapText="0"/>
    </xf>
    <xf borderId="19" fillId="0" fontId="9" numFmtId="0" xfId="0" applyBorder="1" applyFont="1"/>
    <xf borderId="20" fillId="0" fontId="9" numFmtId="0" xfId="0" applyBorder="1" applyFont="1"/>
    <xf borderId="10" fillId="14" fontId="11" numFmtId="165" xfId="0" applyAlignment="1" applyBorder="1" applyFill="1" applyFont="1" applyNumberFormat="1">
      <alignment shrinkToFit="0" vertical="bottom" wrapText="0"/>
    </xf>
    <xf borderId="21" fillId="6" fontId="8" numFmtId="164" xfId="0" applyAlignment="1" applyBorder="1" applyFont="1" applyNumberFormat="1">
      <alignment shrinkToFit="0" vertical="center" wrapText="0"/>
    </xf>
    <xf borderId="22" fillId="0" fontId="9" numFmtId="0" xfId="0" applyBorder="1" applyFont="1"/>
    <xf borderId="21" fillId="9" fontId="8" numFmtId="164" xfId="0" applyAlignment="1" applyBorder="1" applyFont="1" applyNumberFormat="1">
      <alignment shrinkToFit="0" vertical="center" wrapText="0"/>
    </xf>
    <xf borderId="3" fillId="10" fontId="10" numFmtId="164" xfId="0" applyAlignment="1" applyBorder="1" applyFont="1" applyNumberFormat="1">
      <alignment horizontal="right" readingOrder="0" vertical="bottom"/>
    </xf>
    <xf borderId="0" fillId="0" fontId="15" numFmtId="0" xfId="0" applyAlignment="1" applyFont="1">
      <alignment vertical="bottom"/>
    </xf>
    <xf borderId="0" fillId="0" fontId="10" numFmtId="0" xfId="0" applyAlignment="1" applyFont="1">
      <alignment horizontal="left" shrinkToFit="0" vertical="center" wrapText="1"/>
    </xf>
    <xf borderId="3" fillId="10" fontId="10" numFmtId="164" xfId="0" applyAlignment="1" applyBorder="1" applyFont="1" applyNumberFormat="1">
      <alignment horizontal="right" vertical="bottom"/>
    </xf>
    <xf borderId="21" fillId="15" fontId="8" numFmtId="164" xfId="0" applyAlignment="1" applyBorder="1" applyFill="1" applyFont="1" applyNumberFormat="1">
      <alignment shrinkToFit="0" vertical="center" wrapText="0"/>
    </xf>
    <xf borderId="21" fillId="14" fontId="8" numFmtId="165" xfId="0" applyAlignment="1" applyBorder="1" applyFont="1" applyNumberFormat="1">
      <alignment shrinkToFit="0" vertical="center" wrapText="0"/>
    </xf>
    <xf borderId="0" fillId="0" fontId="11" numFmtId="164" xfId="0" applyAlignment="1" applyFont="1" applyNumberFormat="1">
      <alignment shrinkToFit="0" vertical="center" wrapText="0"/>
    </xf>
    <xf borderId="3" fillId="11" fontId="10" numFmtId="164" xfId="0" applyAlignment="1" applyBorder="1" applyFont="1" applyNumberFormat="1">
      <alignment horizontal="right" vertical="bottom"/>
    </xf>
    <xf borderId="3" fillId="4" fontId="11" numFmtId="0" xfId="0" applyAlignment="1" applyBorder="1" applyFont="1">
      <alignment shrinkToFit="0" vertical="center" wrapText="0"/>
    </xf>
    <xf borderId="3" fillId="5" fontId="8" numFmtId="164" xfId="0" applyAlignment="1" applyBorder="1" applyFont="1" applyNumberFormat="1">
      <alignment shrinkToFit="0" vertical="center" wrapText="0"/>
    </xf>
    <xf borderId="3" fillId="0" fontId="8" numFmtId="0" xfId="0" applyAlignment="1" applyBorder="1" applyFont="1">
      <alignment shrinkToFit="0" vertical="center" wrapText="0"/>
    </xf>
    <xf borderId="3" fillId="0" fontId="8" numFmtId="164" xfId="0" applyAlignment="1" applyBorder="1" applyFont="1" applyNumberFormat="1">
      <alignment shrinkToFit="0" vertical="center" wrapText="0"/>
    </xf>
    <xf borderId="3" fillId="0" fontId="8" numFmtId="165" xfId="0" applyAlignment="1" applyBorder="1" applyFont="1" applyNumberFormat="1">
      <alignment shrinkToFit="0" vertical="center" wrapText="0"/>
    </xf>
    <xf borderId="3" fillId="7" fontId="16" numFmtId="9" xfId="0" applyAlignment="1" applyBorder="1" applyFont="1" applyNumberFormat="1">
      <alignment shrinkToFit="0" vertical="center" wrapText="0"/>
    </xf>
    <xf borderId="3" fillId="7" fontId="16" numFmtId="0" xfId="0" applyAlignment="1" applyBorder="1" applyFont="1">
      <alignment horizontal="center" shrinkToFit="0" vertical="center" wrapText="0"/>
    </xf>
    <xf borderId="3" fillId="5" fontId="17" numFmtId="164" xfId="0" applyAlignment="1" applyBorder="1" applyFont="1" applyNumberFormat="1">
      <alignment shrinkToFit="0" vertical="center" wrapText="0"/>
    </xf>
    <xf borderId="3" fillId="0" fontId="8" numFmtId="0" xfId="0" applyAlignment="1" applyBorder="1" applyFont="1">
      <alignment shrinkToFit="0" vertical="center" wrapText="1"/>
    </xf>
    <xf borderId="7" fillId="12" fontId="8" numFmtId="0" xfId="0" applyAlignment="1" applyBorder="1" applyFont="1">
      <alignment shrinkToFit="0" vertical="center" wrapText="0"/>
    </xf>
    <xf borderId="7" fillId="12" fontId="8" numFmtId="0" xfId="0" applyAlignment="1" applyBorder="1" applyFont="1">
      <alignment readingOrder="0" shrinkToFit="0" vertical="center" wrapText="0"/>
    </xf>
    <xf borderId="7" fillId="12" fontId="8" numFmtId="164" xfId="0" applyAlignment="1" applyBorder="1" applyFont="1" applyNumberFormat="1">
      <alignment readingOrder="0" shrinkToFit="0" vertical="center" wrapText="0"/>
    </xf>
    <xf borderId="3" fillId="12" fontId="8" numFmtId="0" xfId="0" applyAlignment="1" applyBorder="1" applyFont="1">
      <alignment shrinkToFit="0" vertical="center" wrapText="0"/>
    </xf>
    <xf borderId="3" fillId="12" fontId="8" numFmtId="0" xfId="0" applyAlignment="1" applyBorder="1" applyFont="1">
      <alignment readingOrder="0" shrinkToFit="0" vertical="center" wrapText="0"/>
    </xf>
    <xf borderId="3" fillId="12" fontId="8" numFmtId="164" xfId="0" applyAlignment="1" applyBorder="1" applyFont="1" applyNumberFormat="1">
      <alignment readingOrder="0" shrinkToFit="0" vertical="center" wrapText="0"/>
    </xf>
    <xf borderId="3" fillId="12" fontId="8" numFmtId="164" xfId="0" applyAlignment="1" applyBorder="1" applyFont="1" applyNumberFormat="1">
      <alignment shrinkToFit="0" vertical="center" wrapText="0"/>
    </xf>
    <xf borderId="3" fillId="0" fontId="18" numFmtId="164" xfId="0" applyAlignment="1" applyBorder="1" applyFont="1" applyNumberFormat="1">
      <alignment horizontal="center" shrinkToFit="0" vertical="center" wrapText="0"/>
    </xf>
    <xf borderId="3" fillId="0" fontId="8" numFmtId="164" xfId="0" applyAlignment="1" applyBorder="1" applyFont="1" applyNumberFormat="1">
      <alignment horizontal="center" shrinkToFit="0" vertical="center" wrapText="0"/>
    </xf>
    <xf borderId="23" fillId="0" fontId="8" numFmtId="0" xfId="0" applyAlignment="1" applyBorder="1" applyFont="1">
      <alignment shrinkToFit="0" vertical="center" wrapText="0"/>
    </xf>
    <xf borderId="23" fillId="0" fontId="18" numFmtId="0" xfId="0" applyAlignment="1" applyBorder="1" applyFont="1">
      <alignment horizontal="center" shrinkToFit="0" vertical="center" wrapText="0"/>
    </xf>
    <xf borderId="24" fillId="0" fontId="8" numFmtId="0" xfId="0" applyAlignment="1" applyBorder="1" applyFont="1">
      <alignment shrinkToFit="0" vertical="center" wrapText="0"/>
    </xf>
    <xf borderId="18" fillId="0" fontId="8" numFmtId="0" xfId="0" applyAlignment="1" applyBorder="1" applyFont="1">
      <alignment shrinkToFit="0" vertical="center" wrapText="1"/>
    </xf>
    <xf borderId="21" fillId="0" fontId="8" numFmtId="0" xfId="0" applyAlignment="1" applyBorder="1" applyFont="1">
      <alignment shrinkToFit="0" vertical="center" wrapText="1"/>
    </xf>
    <xf borderId="25" fillId="0" fontId="9" numFmtId="0" xfId="0" applyBorder="1" applyFont="1"/>
    <xf borderId="0" fillId="0" fontId="3" numFmtId="0" xfId="0" applyAlignment="1" applyFont="1">
      <alignment shrinkToFit="0" vertical="bottom" wrapText="1"/>
    </xf>
    <xf borderId="26" fillId="0" fontId="8" numFmtId="0" xfId="0" applyAlignment="1" applyBorder="1" applyFont="1">
      <alignment shrinkToFit="0" vertical="center" wrapText="1"/>
    </xf>
    <xf borderId="27" fillId="0" fontId="9" numFmtId="0" xfId="0" applyBorder="1" applyFont="1"/>
    <xf borderId="28" fillId="0" fontId="9" numFmtId="0" xfId="0" applyBorder="1" applyFont="1"/>
    <xf borderId="0" fillId="0" fontId="8" numFmtId="0" xfId="0" applyAlignment="1" applyFont="1">
      <alignment shrinkToFit="0" vertical="center" wrapText="1"/>
    </xf>
    <xf borderId="0" fillId="13" fontId="7" numFmtId="0" xfId="0" applyAlignment="1" applyFont="1">
      <alignment shrinkToFit="0" vertical="bottom" wrapText="0"/>
    </xf>
    <xf borderId="21" fillId="0" fontId="8" numFmtId="0" xfId="0" applyAlignment="1" applyBorder="1" applyFont="1">
      <alignment shrinkToFit="0" vertical="center" wrapText="0"/>
    </xf>
  </cellXfs>
  <cellStyles count="1">
    <cellStyle xfId="0" name="Normal" builtinId="0"/>
  </cellStyles>
  <dxfs count="9">
    <dxf>
      <font>
        <sz val="10.0"/>
        <color rgb="FF9AA3A8"/>
        <name val="Arial"/>
      </font>
      <fill>
        <patternFill patternType="none"/>
      </fill>
      <border/>
    </dxf>
    <dxf>
      <font/>
      <fill>
        <patternFill patternType="solid">
          <fgColor rgb="FFB7E1CD"/>
          <bgColor rgb="FFB7E1CD"/>
        </patternFill>
      </fill>
      <border/>
    </dxf>
    <dxf>
      <font/>
      <fill>
        <patternFill patternType="solid">
          <fgColor rgb="FFF7C8CF"/>
          <bgColor rgb="FFF7C8CF"/>
        </patternFill>
      </fill>
      <border/>
    </dxf>
    <dxf>
      <font>
        <color rgb="FF000000"/>
      </font>
      <fill>
        <patternFill patternType="solid">
          <fgColor rgb="FFF0C9CF"/>
          <bgColor rgb="FFF0C9CF"/>
        </patternFill>
      </fill>
      <border/>
    </dxf>
    <dxf>
      <font/>
      <fill>
        <patternFill patternType="solid">
          <fgColor rgb="FFC6EFCE"/>
          <bgColor rgb="FFC6EFCE"/>
        </patternFill>
      </fill>
      <border/>
    </dxf>
    <dxf>
      <font/>
      <fill>
        <patternFill patternType="solid">
          <fgColor rgb="FFFFC7CE"/>
          <bgColor rgb="FFFFC7CE"/>
        </patternFill>
      </fill>
      <border/>
    </dxf>
    <dxf>
      <font/>
      <fill>
        <patternFill patternType="solid">
          <fgColor rgb="FFF2F2F2"/>
          <bgColor rgb="FFF2F2F2"/>
        </patternFill>
      </fill>
      <border/>
    </dxf>
    <dxf>
      <font/>
      <fill>
        <patternFill patternType="solid">
          <fgColor rgb="FFD9D2E9"/>
          <bgColor rgb="FFD9D2E9"/>
        </patternFill>
      </fill>
      <border/>
    </dxf>
    <dxf>
      <font/>
      <fill>
        <patternFill patternType="solid">
          <fgColor rgb="FFFFFF00"/>
          <bgColor rgb="FFFF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Monthly Cash Flow Overview</a:t>
            </a:r>
          </a:p>
        </c:rich>
      </c:tx>
      <c:overlay val="0"/>
    </c:title>
    <c:plotArea>
      <c:layout/>
      <c:pieChart>
        <c:varyColors val="1"/>
        <c:ser>
          <c:idx val="0"/>
          <c:order val="0"/>
          <c:dPt>
            <c:idx val="0"/>
            <c:spPr>
              <a:solidFill>
                <a:srgbClr val="4F81BD"/>
              </a:solidFill>
            </c:spPr>
          </c:dPt>
          <c:dPt>
            <c:idx val="1"/>
            <c:spPr>
              <a:solidFill>
                <a:srgbClr val="C0504D"/>
              </a:solidFill>
            </c:spPr>
          </c:dPt>
          <c:dPt>
            <c:idx val="2"/>
            <c:spPr>
              <a:solidFill>
                <a:srgbClr val="9BBB59"/>
              </a:solidFill>
            </c:spPr>
          </c:dPt>
          <c:dPt>
            <c:idx val="3"/>
            <c:spPr>
              <a:solidFill>
                <a:srgbClr val="8064A2"/>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dLbl>
              <c:idx val="3"/>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val>
            <c:numRef>
              <c:f>'Budget Input'!$I$5:$I$8</c:f>
              <c:numCache/>
            </c:numRef>
          </c:val>
        </c:ser>
        <c:dLbls>
          <c:showLegendKey val="0"/>
          <c:showVal val="0"/>
          <c:showCatName val="0"/>
          <c:showSerName val="0"/>
          <c:showPercent val="0"/>
          <c:showBubbleSize val="0"/>
        </c:dLbls>
        <c:firstSliceAng val="0"/>
      </c:pieChart>
    </c:plotArea>
    <c:legend>
      <c:legendPos val="b"/>
      <c:overlay val="0"/>
      <c:txPr>
        <a:bodyPr/>
        <a:lstStyle/>
        <a:p>
          <a:pPr lvl="0">
            <a:defRPr b="0" i="0" sz="1000">
              <a:solidFill>
                <a:srgbClr val="000000"/>
              </a:solidFill>
              <a:latin typeface="Calibri"/>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Where Your Expenses Go</a:t>
            </a:r>
          </a:p>
        </c:rich>
      </c:tx>
      <c:overlay val="0"/>
    </c:title>
    <c:plotArea>
      <c:layout/>
      <c:pieChart>
        <c:varyColors val="1"/>
        <c:ser>
          <c:idx val="0"/>
          <c:order val="0"/>
          <c:dPt>
            <c:idx val="0"/>
            <c:spPr>
              <a:solidFill>
                <a:srgbClr val="4672A8"/>
              </a:solidFill>
            </c:spPr>
          </c:dPt>
          <c:dPt>
            <c:idx val="1"/>
            <c:spPr>
              <a:solidFill>
                <a:srgbClr val="AB4744"/>
              </a:solidFill>
            </c:spPr>
          </c:dPt>
          <c:dPt>
            <c:idx val="2"/>
            <c:spPr>
              <a:solidFill>
                <a:srgbClr val="8AA64F"/>
              </a:solidFill>
            </c:spPr>
          </c:dPt>
          <c:dPt>
            <c:idx val="3"/>
            <c:spPr>
              <a:solidFill>
                <a:srgbClr val="725990"/>
              </a:solidFill>
            </c:spPr>
          </c:dPt>
          <c:dPt>
            <c:idx val="4"/>
            <c:spPr>
              <a:solidFill>
                <a:srgbClr val="4299B0"/>
              </a:solidFill>
            </c:spPr>
          </c:dPt>
          <c:dPt>
            <c:idx val="5"/>
            <c:spPr>
              <a:solidFill>
                <a:srgbClr val="DC853E"/>
              </a:solidFill>
            </c:spPr>
          </c:dPt>
          <c:dPt>
            <c:idx val="6"/>
            <c:spPr>
              <a:solidFill>
                <a:srgbClr val="93A9CE"/>
              </a:solidFill>
            </c:spPr>
          </c:dPt>
          <c:dPt>
            <c:idx val="7"/>
            <c:spPr>
              <a:solidFill>
                <a:srgbClr val="D09493"/>
              </a:solidFill>
            </c:spPr>
          </c:dPt>
          <c:dPt>
            <c:idx val="8"/>
            <c:spPr>
              <a:solidFill>
                <a:srgbClr val="B8CD97"/>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dLbl>
              <c:idx val="3"/>
              <c:txPr>
                <a:bodyPr/>
                <a:lstStyle/>
                <a:p>
                  <a:pPr lvl="0">
                    <a:defRPr b="0" i="0" sz="1000">
                      <a:solidFill>
                        <a:srgbClr val="000000"/>
                      </a:solidFill>
                      <a:latin typeface="Calibri"/>
                    </a:defRPr>
                  </a:pPr>
                </a:p>
              </c:txPr>
              <c:showLegendKey val="0"/>
              <c:showVal val="0"/>
              <c:showCatName val="0"/>
              <c:showSerName val="0"/>
              <c:showPercent val="1"/>
              <c:showBubbleSize val="0"/>
            </c:dLbl>
            <c:dLbl>
              <c:idx val="4"/>
              <c:txPr>
                <a:bodyPr/>
                <a:lstStyle/>
                <a:p>
                  <a:pPr lvl="0">
                    <a:defRPr b="0" i="0" sz="1000">
                      <a:solidFill>
                        <a:srgbClr val="000000"/>
                      </a:solidFill>
                      <a:latin typeface="Calibri"/>
                    </a:defRPr>
                  </a:pPr>
                </a:p>
              </c:txPr>
              <c:showLegendKey val="0"/>
              <c:showVal val="0"/>
              <c:showCatName val="0"/>
              <c:showSerName val="0"/>
              <c:showPercent val="1"/>
              <c:showBubbleSize val="0"/>
            </c:dLbl>
            <c:dLbl>
              <c:idx val="5"/>
              <c:txPr>
                <a:bodyPr/>
                <a:lstStyle/>
                <a:p>
                  <a:pPr lvl="0">
                    <a:defRPr b="0" i="0" sz="1000">
                      <a:solidFill>
                        <a:srgbClr val="000000"/>
                      </a:solidFill>
                      <a:latin typeface="Calibri"/>
                    </a:defRPr>
                  </a:pPr>
                </a:p>
              </c:txPr>
              <c:showLegendKey val="0"/>
              <c:showVal val="0"/>
              <c:showCatName val="0"/>
              <c:showSerName val="0"/>
              <c:showPercent val="1"/>
              <c:showBubbleSize val="0"/>
            </c:dLbl>
            <c:dLbl>
              <c:idx val="6"/>
              <c:txPr>
                <a:bodyPr/>
                <a:lstStyle/>
                <a:p>
                  <a:pPr lvl="0">
                    <a:defRPr b="0" i="0" sz="1000">
                      <a:solidFill>
                        <a:srgbClr val="000000"/>
                      </a:solidFill>
                      <a:latin typeface="Calibri"/>
                    </a:defRPr>
                  </a:pPr>
                </a:p>
              </c:txPr>
              <c:showLegendKey val="0"/>
              <c:showVal val="0"/>
              <c:showCatName val="0"/>
              <c:showSerName val="0"/>
              <c:showPercent val="1"/>
              <c:showBubbleSize val="0"/>
            </c:dLbl>
            <c:dLbl>
              <c:idx val="7"/>
              <c:txPr>
                <a:bodyPr/>
                <a:lstStyle/>
                <a:p>
                  <a:pPr lvl="0">
                    <a:defRPr b="0" i="0" sz="1000">
                      <a:solidFill>
                        <a:srgbClr val="000000"/>
                      </a:solidFill>
                      <a:latin typeface="Calibri"/>
                    </a:defRPr>
                  </a:pPr>
                </a:p>
              </c:txPr>
              <c:showLegendKey val="0"/>
              <c:showVal val="0"/>
              <c:showCatName val="0"/>
              <c:showSerName val="0"/>
              <c:showPercent val="1"/>
              <c:showBubbleSize val="0"/>
            </c:dLbl>
            <c:dLbl>
              <c:idx val="8"/>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val>
            <c:numRef>
              <c:f>Feedback!$C$11:$C$19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sz="1000">
              <a:solidFill>
                <a:srgbClr val="000000"/>
              </a:solidFill>
              <a:latin typeface="Calibri"/>
            </a:defRPr>
          </a:pPr>
        </a:p>
      </c:txPr>
    </c:legend>
    <c:plotVisOnly val="1"/>
  </c:chart>
  <c:spPr>
    <a:solidFill>
      <a:srgbClr val="FFFFFF"/>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Spending vs. Recommended Guideline (% of Income)</a:t>
            </a:r>
          </a:p>
        </c:rich>
      </c:tx>
      <c:overlay val="0"/>
    </c:title>
    <c:plotArea>
      <c:layout/>
      <c:barChart>
        <c:barDir val="col"/>
        <c:ser>
          <c:idx val="0"/>
          <c:order val="0"/>
          <c:tx>
            <c:v>% of Income</c:v>
          </c:tx>
          <c:spPr>
            <a:solidFill>
              <a:srgbClr val="1F7A4B"/>
            </a:solidFill>
            <a:ln cmpd="sng">
              <a:noFill/>
            </a:ln>
          </c:spPr>
          <c:val>
            <c:numRef>
              <c:f>Feedback!$D$11:$D$19</c:f>
              <c:numCache/>
            </c:numRef>
          </c:val>
        </c:ser>
        <c:ser>
          <c:idx val="1"/>
          <c:order val="1"/>
          <c:tx>
            <c:v>Benchmark</c:v>
          </c:tx>
          <c:spPr>
            <a:solidFill>
              <a:srgbClr val="54818E"/>
            </a:solidFill>
            <a:ln cmpd="sng">
              <a:noFill/>
            </a:ln>
          </c:spPr>
          <c:val>
            <c:numRef>
              <c:f>Feedback!$E$11:$E$19</c:f>
              <c:numCache/>
            </c:numRef>
          </c:val>
        </c:ser>
        <c:axId val="526604718"/>
        <c:axId val="195464970"/>
      </c:barChart>
      <c:catAx>
        <c:axId val="5266047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spPr>
          <a:ln>
            <a:noFill/>
          </a:ln>
        </c:spPr>
        <c:txPr>
          <a:bodyPr/>
          <a:lstStyle/>
          <a:p>
            <a:pPr lvl="0">
              <a:defRPr b="0" i="0" sz="1000">
                <a:solidFill>
                  <a:srgbClr val="000000"/>
                </a:solidFill>
                <a:latin typeface="Calibri"/>
              </a:defRPr>
            </a:pPr>
          </a:p>
        </c:txPr>
        <c:crossAx val="195464970"/>
      </c:catAx>
      <c:valAx>
        <c:axId val="19546497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of income</a:t>
                </a:r>
              </a:p>
            </c:rich>
          </c:tx>
          <c:overlay val="0"/>
        </c:title>
        <c:numFmt formatCode="0%" sourceLinked="0"/>
        <c:majorTickMark val="none"/>
        <c:minorTickMark val="none"/>
        <c:tickLblPos val="nextTo"/>
        <c:spPr>
          <a:ln>
            <a:noFill/>
          </a:ln>
        </c:spPr>
        <c:txPr>
          <a:bodyPr/>
          <a:lstStyle/>
          <a:p>
            <a:pPr lvl="0">
              <a:defRPr b="0" i="0" sz="1000">
                <a:solidFill>
                  <a:srgbClr val="000000"/>
                </a:solidFill>
                <a:latin typeface="Calibri"/>
              </a:defRPr>
            </a:pPr>
          </a:p>
        </c:txPr>
        <c:crossAx val="526604718"/>
      </c:valAx>
    </c:plotArea>
    <c:legend>
      <c:legendPos val="r"/>
      <c:overlay val="0"/>
      <c:txPr>
        <a:bodyPr/>
        <a:lstStyle/>
        <a:p>
          <a:pPr lvl="0">
            <a:defRPr b="0" i="0" sz="1000">
              <a:solidFill>
                <a:srgbClr val="000000"/>
              </a:solidFill>
              <a:latin typeface="Calibri"/>
            </a:defRPr>
          </a:pPr>
        </a:p>
      </c:txPr>
    </c:legend>
    <c:plotVisOnly val="1"/>
  </c:chart>
  <c:spPr>
    <a:solidFill>
      <a:srgbClr val="FFFFFF"/>
    </a:solidFill>
  </c:spPr>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33</xdr:row>
      <xdr:rowOff>0</xdr:rowOff>
    </xdr:from>
    <xdr:ext cx="4181475" cy="3019425"/>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0</xdr:colOff>
      <xdr:row>33</xdr:row>
      <xdr:rowOff>0</xdr:rowOff>
    </xdr:from>
    <xdr:ext cx="4038600" cy="3019425"/>
    <xdr:graphicFrame>
      <xdr:nvGraphicFramePr>
        <xdr:cNvPr id="2" name="Chart 2"/>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xdr:col>
      <xdr:colOff>0</xdr:colOff>
      <xdr:row>51</xdr:row>
      <xdr:rowOff>0</xdr:rowOff>
    </xdr:from>
    <xdr:ext cx="7210425" cy="3200400"/>
    <xdr:graphicFrame>
      <xdr:nvGraphicFramePr>
        <xdr:cNvPr id="3" name="Chart 3"/>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pageSetUpPr/>
  </sheetPr>
  <sheetViews>
    <sheetView showGridLines="0" workbookViewId="0"/>
  </sheetViews>
  <sheetFormatPr customHeight="1" defaultColWidth="14.43" defaultRowHeight="15.0"/>
  <cols>
    <col customWidth="1" min="1" max="1" width="3.0"/>
    <col customWidth="1" min="2" max="2" width="8.0"/>
    <col customWidth="1" min="3" max="3" width="113.71"/>
    <col customWidth="1" min="4" max="4" width="14.0"/>
    <col customWidth="1" min="5" max="5" width="38.0"/>
    <col customWidth="1" min="6" max="6" width="3.0"/>
  </cols>
  <sheetData>
    <row r="1" ht="15.0" customHeight="1">
      <c r="A1" s="1"/>
      <c r="B1" s="2" t="s">
        <v>0</v>
      </c>
      <c r="F1" s="1"/>
    </row>
    <row r="2" ht="15.0" customHeight="1">
      <c r="A2" s="1"/>
      <c r="F2" s="1"/>
    </row>
    <row r="3" ht="14.25" customHeight="1">
      <c r="A3" s="1"/>
      <c r="B3" s="3" t="s">
        <v>1</v>
      </c>
      <c r="F3" s="1"/>
    </row>
    <row r="4" ht="14.25" customHeight="1">
      <c r="A4" s="1"/>
      <c r="F4" s="1"/>
    </row>
    <row r="5" ht="15.0" customHeight="1">
      <c r="A5" s="1"/>
      <c r="B5" s="1"/>
      <c r="C5" s="1"/>
      <c r="D5" s="1"/>
      <c r="E5" s="1"/>
      <c r="F5" s="1"/>
    </row>
    <row r="6" ht="15.0" customHeight="1">
      <c r="A6" s="1"/>
      <c r="B6" s="10" t="s">
        <v>3</v>
      </c>
      <c r="F6" s="1"/>
    </row>
    <row r="7" ht="15.0" customHeight="1">
      <c r="A7" s="1"/>
      <c r="B7" s="13" t="s">
        <v>22</v>
      </c>
      <c r="C7" s="16" t="s">
        <v>26</v>
      </c>
      <c r="D7" s="13" t="s">
        <v>27</v>
      </c>
      <c r="E7" s="16" t="s">
        <v>28</v>
      </c>
      <c r="F7" s="1"/>
    </row>
    <row r="8" ht="30.0" customHeight="1">
      <c r="A8" s="1"/>
      <c r="B8" s="18">
        <v>1.0</v>
      </c>
      <c r="C8" s="19" t="s">
        <v>33</v>
      </c>
      <c r="D8" s="20"/>
      <c r="E8" s="21"/>
      <c r="F8" s="1"/>
    </row>
    <row r="9" ht="30.0" customHeight="1">
      <c r="A9" s="1"/>
      <c r="B9" s="18">
        <v>2.0</v>
      </c>
      <c r="C9" s="19" t="s">
        <v>42</v>
      </c>
      <c r="D9" s="20"/>
      <c r="E9" s="21"/>
      <c r="F9" s="1"/>
    </row>
    <row r="10" ht="27.75" customHeight="1">
      <c r="A10" s="1"/>
      <c r="B10" s="18">
        <v>3.0</v>
      </c>
      <c r="C10" s="19" t="s">
        <v>45</v>
      </c>
      <c r="D10" s="20"/>
      <c r="E10" s="21"/>
      <c r="F10" s="1"/>
    </row>
    <row r="11" ht="15.75" customHeight="1">
      <c r="A11" s="1"/>
      <c r="B11" s="1"/>
      <c r="C11" s="23"/>
      <c r="D11" s="1"/>
      <c r="E11" s="1"/>
      <c r="F11" s="1"/>
    </row>
    <row r="12" ht="15.75" customHeight="1">
      <c r="A12" s="1"/>
      <c r="B12" s="10" t="s">
        <v>50</v>
      </c>
      <c r="F12" s="1"/>
    </row>
    <row r="13" ht="15.75" customHeight="1">
      <c r="A13" s="1"/>
      <c r="B13" s="20"/>
      <c r="C13" s="27" t="s">
        <v>51</v>
      </c>
      <c r="D13" s="29"/>
      <c r="E13" s="32"/>
      <c r="F13" s="1"/>
    </row>
    <row r="14" ht="15.75" customHeight="1">
      <c r="A14" s="1"/>
      <c r="B14" s="35"/>
      <c r="C14" s="27" t="s">
        <v>56</v>
      </c>
      <c r="D14" s="29"/>
      <c r="E14" s="32"/>
      <c r="F14" s="1"/>
    </row>
    <row r="15" ht="15.75" customHeight="1">
      <c r="A15" s="1"/>
      <c r="B15" s="36"/>
      <c r="C15" s="27" t="s">
        <v>57</v>
      </c>
      <c r="D15" s="29"/>
      <c r="E15" s="32"/>
      <c r="F15" s="1"/>
    </row>
    <row r="16" ht="15.75" customHeight="1">
      <c r="A16" s="1"/>
      <c r="B16" s="37"/>
      <c r="C16" s="27" t="s">
        <v>58</v>
      </c>
      <c r="D16" s="29"/>
      <c r="E16" s="32"/>
      <c r="F16" s="1"/>
    </row>
    <row r="17" ht="15.75" customHeight="1">
      <c r="A17" s="1"/>
      <c r="B17" s="45"/>
      <c r="C17" s="27" t="s">
        <v>68</v>
      </c>
      <c r="D17" s="29"/>
      <c r="E17" s="32"/>
      <c r="F17" s="1"/>
    </row>
    <row r="18" ht="15.75" customHeight="1">
      <c r="A18" s="1"/>
      <c r="B18" s="47"/>
      <c r="C18" s="27" t="s">
        <v>70</v>
      </c>
      <c r="D18" s="29"/>
      <c r="E18" s="32"/>
      <c r="F18" s="1"/>
    </row>
    <row r="19" ht="15.75" customHeight="1">
      <c r="A19" s="1"/>
      <c r="B19" s="48"/>
      <c r="C19" s="27" t="s">
        <v>73</v>
      </c>
      <c r="D19" s="29"/>
      <c r="E19" s="32"/>
      <c r="F19" s="1"/>
    </row>
    <row r="20" ht="15.75" customHeight="1">
      <c r="A20" s="1"/>
      <c r="B20" s="49" t="s">
        <v>74</v>
      </c>
      <c r="C20" s="27" t="s">
        <v>75</v>
      </c>
      <c r="D20" s="29"/>
      <c r="E20" s="32"/>
      <c r="F20" s="1"/>
    </row>
    <row r="21" ht="15.75" customHeight="1">
      <c r="A21" s="1"/>
      <c r="B21" s="51" t="s">
        <v>76</v>
      </c>
      <c r="C21" s="27" t="s">
        <v>77</v>
      </c>
      <c r="D21" s="29"/>
      <c r="E21" s="32"/>
      <c r="F21" s="1"/>
    </row>
    <row r="22" ht="15.75" customHeight="1">
      <c r="A22" s="1"/>
      <c r="B22" s="1"/>
      <c r="C22" s="1"/>
      <c r="D22" s="1"/>
      <c r="E22" s="1"/>
      <c r="F22" s="1"/>
    </row>
    <row r="23" ht="15.75" customHeight="1">
      <c r="A23" s="1"/>
      <c r="B23" s="10" t="s">
        <v>81</v>
      </c>
      <c r="F23" s="1"/>
    </row>
    <row r="24" ht="45.0" customHeight="1">
      <c r="A24" s="1"/>
      <c r="B24" s="52" t="s">
        <v>82</v>
      </c>
      <c r="C24" s="53"/>
      <c r="D24" s="53"/>
      <c r="E24" s="54"/>
      <c r="F24" s="1"/>
    </row>
    <row r="25" ht="15.75" customHeight="1">
      <c r="A25" s="1"/>
      <c r="B25" s="55"/>
      <c r="C25" s="59"/>
      <c r="D25" s="59"/>
      <c r="E25" s="60"/>
      <c r="F25" s="1"/>
    </row>
    <row r="26" ht="15.75" customHeight="1">
      <c r="A26" s="1"/>
      <c r="B26" s="61"/>
      <c r="C26" s="61"/>
      <c r="D26" s="61"/>
      <c r="E26" s="61"/>
      <c r="F26" s="1"/>
    </row>
    <row r="27" ht="15.75" customHeight="1">
      <c r="A27" s="1"/>
      <c r="B27" s="10" t="s">
        <v>88</v>
      </c>
      <c r="F27" s="1"/>
    </row>
    <row r="28" ht="23.25" customHeight="1">
      <c r="A28" s="1"/>
      <c r="B28" s="63" t="s">
        <v>93</v>
      </c>
      <c r="C28" s="65"/>
      <c r="D28" s="65"/>
      <c r="E28" s="66"/>
      <c r="F28" s="1"/>
    </row>
    <row r="29" ht="30.0" customHeight="1">
      <c r="A29" s="1"/>
      <c r="B29" s="63" t="s">
        <v>98</v>
      </c>
      <c r="C29" s="65"/>
      <c r="D29" s="65"/>
      <c r="E29" s="66"/>
      <c r="F29" s="1"/>
    </row>
    <row r="30" ht="29.25" customHeight="1">
      <c r="A30" s="1"/>
      <c r="B30" s="63" t="s">
        <v>100</v>
      </c>
      <c r="C30" s="65"/>
      <c r="D30" s="65"/>
      <c r="E30" s="66"/>
      <c r="F30" s="1"/>
    </row>
    <row r="31" ht="27.0" customHeight="1">
      <c r="A31" s="1"/>
      <c r="B31" s="63" t="s">
        <v>101</v>
      </c>
      <c r="C31" s="65"/>
      <c r="D31" s="65"/>
      <c r="E31" s="66"/>
      <c r="F31" s="1"/>
    </row>
    <row r="32" ht="42.0" customHeight="1">
      <c r="A32" s="1"/>
      <c r="B32" s="63" t="s">
        <v>105</v>
      </c>
      <c r="C32" s="65"/>
      <c r="D32" s="65"/>
      <c r="E32" s="66"/>
      <c r="F32" s="1"/>
    </row>
    <row r="33" ht="15.75" customHeight="1">
      <c r="A33" s="1"/>
      <c r="B33" s="1"/>
      <c r="C33" s="1"/>
      <c r="D33" s="1"/>
      <c r="E33" s="1"/>
      <c r="F33" s="1"/>
    </row>
    <row r="34" ht="15.75" customHeight="1">
      <c r="A34" s="1"/>
      <c r="B34" s="72" t="s">
        <v>108</v>
      </c>
      <c r="F34" s="1"/>
    </row>
    <row r="35" ht="15.75" customHeight="1">
      <c r="A35" s="1"/>
      <c r="B35" s="1"/>
      <c r="C35" s="1"/>
      <c r="D35" s="1"/>
      <c r="E35" s="1"/>
      <c r="F35" s="1"/>
    </row>
    <row r="36" ht="15.75" customHeight="1">
      <c r="A36" s="1"/>
      <c r="B36" s="1"/>
      <c r="C36" s="1"/>
      <c r="D36" s="1"/>
      <c r="E36" s="1"/>
      <c r="F36" s="1"/>
    </row>
    <row r="37" ht="15.75" customHeight="1">
      <c r="A37" s="1"/>
      <c r="B37" s="1"/>
      <c r="C37" s="1"/>
      <c r="D37" s="1"/>
      <c r="E37" s="1"/>
      <c r="F37" s="1"/>
    </row>
    <row r="38" ht="15.75" customHeight="1">
      <c r="A38" s="1"/>
      <c r="B38" s="1"/>
      <c r="C38" s="1"/>
      <c r="D38" s="1"/>
      <c r="E38" s="1"/>
      <c r="F38" s="1"/>
    </row>
    <row r="39" ht="15.75" customHeight="1">
      <c r="A39" s="1"/>
      <c r="B39" s="1"/>
      <c r="C39" s="1"/>
      <c r="D39" s="1"/>
      <c r="E39" s="1"/>
      <c r="F39" s="1"/>
    </row>
    <row r="40" ht="15.75" customHeight="1">
      <c r="A40" s="1"/>
      <c r="B40" s="1"/>
      <c r="C40" s="1"/>
      <c r="D40" s="1"/>
      <c r="E40" s="1"/>
      <c r="F40" s="1"/>
    </row>
    <row r="41" ht="15.75" customHeight="1">
      <c r="A41" s="1"/>
      <c r="B41" s="1"/>
      <c r="C41" s="1"/>
      <c r="D41" s="1"/>
      <c r="E41" s="1"/>
      <c r="F41" s="1"/>
    </row>
    <row r="42" ht="15.75" customHeight="1">
      <c r="A42" s="1"/>
      <c r="B42" s="1"/>
      <c r="C42" s="1"/>
      <c r="D42" s="1"/>
      <c r="E42" s="1"/>
      <c r="F42" s="1"/>
    </row>
    <row r="43" ht="15.75" customHeight="1">
      <c r="A43" s="1"/>
      <c r="B43" s="1"/>
      <c r="C43" s="1"/>
      <c r="D43" s="1"/>
      <c r="E43" s="1"/>
      <c r="F43" s="1"/>
    </row>
    <row r="44" ht="15.75" customHeight="1">
      <c r="A44" s="1"/>
      <c r="B44" s="1"/>
      <c r="C44" s="1"/>
      <c r="D44" s="1"/>
      <c r="E44" s="1"/>
      <c r="F44" s="1"/>
    </row>
    <row r="45" ht="15.75" customHeight="1">
      <c r="A45" s="1"/>
      <c r="B45" s="1"/>
      <c r="C45" s="1"/>
      <c r="D45" s="1"/>
      <c r="E45" s="1"/>
      <c r="F45" s="1"/>
    </row>
    <row r="46" ht="15.75" customHeight="1">
      <c r="A46" s="1"/>
      <c r="B46" s="1"/>
      <c r="C46" s="1"/>
      <c r="D46" s="1"/>
      <c r="E46" s="1"/>
      <c r="F46" s="1"/>
    </row>
    <row r="47" ht="15.75" customHeight="1">
      <c r="A47" s="1"/>
      <c r="B47" s="1"/>
      <c r="C47" s="1"/>
      <c r="D47" s="1"/>
      <c r="E47" s="1"/>
      <c r="F47" s="1"/>
    </row>
    <row r="48" ht="15.75" customHeight="1">
      <c r="A48" s="1"/>
      <c r="B48" s="1"/>
      <c r="C48" s="1"/>
      <c r="D48" s="1"/>
      <c r="E48" s="1"/>
      <c r="F48" s="1"/>
    </row>
    <row r="49" ht="15.75" customHeight="1">
      <c r="A49" s="1"/>
      <c r="B49" s="1"/>
      <c r="C49" s="1"/>
      <c r="D49" s="1"/>
      <c r="E49" s="1"/>
      <c r="F49" s="1"/>
    </row>
    <row r="50" ht="15.75" customHeight="1">
      <c r="A50" s="1"/>
      <c r="B50" s="1"/>
      <c r="C50" s="1"/>
      <c r="D50" s="1"/>
      <c r="E50" s="1"/>
      <c r="F50" s="1"/>
    </row>
    <row r="51" ht="15.75" customHeight="1">
      <c r="A51" s="1"/>
      <c r="B51" s="1"/>
      <c r="C51" s="1"/>
      <c r="D51" s="1"/>
      <c r="E51" s="1"/>
      <c r="F51" s="1"/>
    </row>
    <row r="52" ht="15.75" customHeight="1">
      <c r="A52" s="1"/>
      <c r="B52" s="1"/>
      <c r="C52" s="1"/>
      <c r="D52" s="1"/>
      <c r="E52" s="1"/>
      <c r="F52" s="1"/>
    </row>
    <row r="53" ht="15.75" customHeight="1">
      <c r="A53" s="1"/>
      <c r="B53" s="1"/>
      <c r="C53" s="1"/>
      <c r="D53" s="1"/>
      <c r="E53" s="1"/>
      <c r="F53" s="1"/>
    </row>
    <row r="54" ht="15.75" customHeight="1">
      <c r="A54" s="1"/>
      <c r="B54" s="1"/>
      <c r="C54" s="1"/>
      <c r="D54" s="1"/>
      <c r="E54" s="1"/>
      <c r="F54" s="1"/>
    </row>
    <row r="55" ht="15.75" customHeight="1">
      <c r="A55" s="1"/>
      <c r="B55" s="1"/>
      <c r="C55" s="1"/>
      <c r="D55" s="1"/>
      <c r="E55" s="1"/>
      <c r="F55" s="1"/>
    </row>
    <row r="56" ht="15.75" customHeight="1">
      <c r="A56" s="1"/>
      <c r="B56" s="1"/>
      <c r="C56" s="1"/>
      <c r="D56" s="1"/>
      <c r="E56" s="1"/>
      <c r="F56" s="1"/>
    </row>
    <row r="57" ht="15.75" customHeight="1">
      <c r="A57" s="1"/>
      <c r="B57" s="1"/>
      <c r="C57" s="1"/>
      <c r="D57" s="1"/>
      <c r="E57" s="1"/>
      <c r="F57" s="1"/>
    </row>
    <row r="58" ht="15.75" customHeight="1">
      <c r="A58" s="1"/>
      <c r="B58" s="1"/>
      <c r="C58" s="1"/>
      <c r="D58" s="1"/>
      <c r="E58" s="1"/>
      <c r="F58" s="1"/>
    </row>
    <row r="59" ht="15.75" customHeight="1">
      <c r="A59" s="1"/>
      <c r="B59" s="1"/>
      <c r="C59" s="1"/>
      <c r="D59" s="1"/>
      <c r="E59" s="1"/>
      <c r="F59" s="1"/>
    </row>
    <row r="60" ht="15.75" customHeight="1">
      <c r="A60" s="1"/>
      <c r="B60" s="1"/>
      <c r="C60" s="1"/>
      <c r="D60" s="1"/>
      <c r="E60" s="1"/>
      <c r="F60" s="1"/>
    </row>
    <row r="61" ht="15.75" customHeight="1">
      <c r="A61" s="1"/>
      <c r="B61" s="1"/>
      <c r="C61" s="1"/>
      <c r="D61" s="1"/>
      <c r="E61" s="1"/>
      <c r="F61" s="1"/>
    </row>
    <row r="62" ht="15.75" customHeight="1">
      <c r="A62" s="1"/>
      <c r="B62" s="1"/>
      <c r="C62" s="1"/>
      <c r="D62" s="1"/>
      <c r="E62" s="1"/>
      <c r="F62" s="1"/>
    </row>
    <row r="63" ht="15.75" customHeight="1">
      <c r="A63" s="1"/>
      <c r="B63" s="1"/>
      <c r="C63" s="1"/>
      <c r="D63" s="1"/>
      <c r="E63" s="1"/>
      <c r="F63" s="1"/>
    </row>
    <row r="64" ht="15.75" customHeight="1">
      <c r="A64" s="1"/>
      <c r="B64" s="1"/>
      <c r="C64" s="1"/>
      <c r="D64" s="1"/>
      <c r="E64" s="1"/>
      <c r="F64" s="1"/>
    </row>
    <row r="65" ht="15.75" customHeight="1">
      <c r="A65" s="1"/>
      <c r="B65" s="1"/>
      <c r="C65" s="1"/>
      <c r="D65" s="1"/>
      <c r="E65" s="1"/>
      <c r="F65" s="1"/>
    </row>
    <row r="66" ht="15.75" customHeight="1">
      <c r="A66" s="1"/>
      <c r="B66" s="1"/>
      <c r="C66" s="1"/>
      <c r="D66" s="1"/>
      <c r="E66" s="1"/>
      <c r="F66" s="1"/>
    </row>
    <row r="67" ht="15.75" customHeight="1">
      <c r="A67" s="1"/>
      <c r="B67" s="1"/>
      <c r="C67" s="1"/>
      <c r="D67" s="1"/>
      <c r="E67" s="1"/>
      <c r="F67" s="1"/>
    </row>
    <row r="68" ht="15.75" customHeight="1">
      <c r="A68" s="1"/>
      <c r="B68" s="1"/>
      <c r="C68" s="1"/>
      <c r="D68" s="1"/>
      <c r="E68" s="1"/>
      <c r="F68" s="1"/>
    </row>
    <row r="69" ht="15.75" customHeight="1">
      <c r="A69" s="1"/>
      <c r="B69" s="1"/>
      <c r="C69" s="1"/>
      <c r="D69" s="1"/>
      <c r="E69" s="1"/>
      <c r="F69" s="1"/>
    </row>
    <row r="70" ht="15.75" customHeight="1">
      <c r="A70" s="1"/>
      <c r="B70" s="1"/>
      <c r="C70" s="1"/>
      <c r="D70" s="1"/>
      <c r="E70" s="1"/>
      <c r="F70" s="1"/>
    </row>
    <row r="71" ht="15.75" customHeight="1">
      <c r="A71" s="1"/>
      <c r="B71" s="1"/>
      <c r="C71" s="1"/>
      <c r="D71" s="1"/>
      <c r="E71" s="1"/>
      <c r="F71" s="1"/>
    </row>
    <row r="72" ht="15.75" customHeight="1">
      <c r="A72" s="1"/>
      <c r="B72" s="1"/>
      <c r="C72" s="1"/>
      <c r="D72" s="1"/>
      <c r="E72" s="1"/>
      <c r="F72" s="1"/>
    </row>
    <row r="73" ht="15.75" customHeight="1">
      <c r="A73" s="1"/>
      <c r="B73" s="1"/>
      <c r="C73" s="1"/>
      <c r="D73" s="1"/>
      <c r="E73" s="1"/>
      <c r="F73" s="1"/>
    </row>
    <row r="74" ht="15.75" customHeight="1">
      <c r="A74" s="1"/>
      <c r="B74" s="1"/>
      <c r="C74" s="1"/>
      <c r="D74" s="1"/>
      <c r="E74" s="1"/>
      <c r="F74" s="1"/>
    </row>
    <row r="75" ht="15.75" customHeight="1">
      <c r="A75" s="1"/>
      <c r="B75" s="1"/>
      <c r="C75" s="1"/>
      <c r="D75" s="1"/>
      <c r="E75" s="1"/>
      <c r="F75" s="1"/>
    </row>
    <row r="76" ht="15.75" customHeight="1">
      <c r="A76" s="1"/>
      <c r="B76" s="1"/>
      <c r="C76" s="1"/>
      <c r="D76" s="1"/>
      <c r="E76" s="1"/>
      <c r="F76" s="1"/>
    </row>
    <row r="77" ht="15.75" customHeight="1">
      <c r="A77" s="1"/>
      <c r="B77" s="1"/>
      <c r="C77" s="1"/>
      <c r="D77" s="1"/>
      <c r="E77" s="1"/>
      <c r="F77" s="1"/>
    </row>
    <row r="78" ht="15.75" customHeight="1">
      <c r="A78" s="1"/>
      <c r="B78" s="1"/>
      <c r="C78" s="1"/>
      <c r="D78" s="1"/>
      <c r="E78" s="1"/>
      <c r="F78" s="1"/>
    </row>
    <row r="79" ht="15.75" customHeight="1">
      <c r="A79" s="1"/>
      <c r="B79" s="1"/>
      <c r="C79" s="1"/>
      <c r="D79" s="1"/>
      <c r="E79" s="1"/>
      <c r="F79" s="1"/>
    </row>
    <row r="80" ht="15.75" customHeight="1">
      <c r="A80" s="1"/>
      <c r="B80" s="1"/>
      <c r="C80" s="1"/>
      <c r="D80" s="1"/>
      <c r="E80" s="1"/>
      <c r="F80" s="1"/>
    </row>
    <row r="81" ht="15.75" customHeight="1">
      <c r="A81" s="1"/>
      <c r="B81" s="1"/>
      <c r="C81" s="1"/>
      <c r="D81" s="1"/>
      <c r="E81" s="1"/>
      <c r="F81" s="1"/>
    </row>
    <row r="82" ht="15.75" customHeight="1">
      <c r="A82" s="1"/>
      <c r="B82" s="1"/>
      <c r="C82" s="1"/>
      <c r="D82" s="1"/>
      <c r="E82" s="1"/>
      <c r="F82" s="1"/>
    </row>
    <row r="83" ht="15.75" customHeight="1">
      <c r="A83" s="1"/>
      <c r="B83" s="1"/>
      <c r="C83" s="1"/>
      <c r="D83" s="1"/>
      <c r="E83" s="1"/>
      <c r="F83" s="1"/>
    </row>
    <row r="84" ht="15.75" customHeight="1">
      <c r="A84" s="1"/>
      <c r="B84" s="1"/>
      <c r="C84" s="1"/>
      <c r="D84" s="1"/>
      <c r="E84" s="1"/>
      <c r="F84" s="1"/>
    </row>
    <row r="85" ht="15.75" customHeight="1">
      <c r="A85" s="1"/>
      <c r="B85" s="1"/>
      <c r="C85" s="1"/>
      <c r="D85" s="1"/>
      <c r="E85" s="1"/>
      <c r="F85" s="1"/>
    </row>
    <row r="86" ht="15.75" customHeight="1">
      <c r="A86" s="1"/>
      <c r="B86" s="1"/>
      <c r="C86" s="1"/>
      <c r="D86" s="1"/>
      <c r="E86" s="1"/>
      <c r="F86" s="1"/>
    </row>
    <row r="87" ht="15.75" customHeight="1">
      <c r="A87" s="1"/>
      <c r="B87" s="1"/>
      <c r="C87" s="1"/>
      <c r="D87" s="1"/>
      <c r="E87" s="1"/>
      <c r="F87" s="1"/>
    </row>
    <row r="88" ht="15.75" customHeight="1">
      <c r="A88" s="1"/>
      <c r="B88" s="1"/>
      <c r="C88" s="1"/>
      <c r="D88" s="1"/>
      <c r="E88" s="1"/>
      <c r="F88" s="1"/>
    </row>
    <row r="89" ht="15.75" customHeight="1">
      <c r="A89" s="1"/>
      <c r="B89" s="1"/>
      <c r="C89" s="1"/>
      <c r="D89" s="1"/>
      <c r="E89" s="1"/>
      <c r="F89" s="1"/>
    </row>
    <row r="90" ht="15.75" customHeight="1">
      <c r="A90" s="1"/>
      <c r="B90" s="1"/>
      <c r="C90" s="1"/>
      <c r="D90" s="1"/>
      <c r="E90" s="1"/>
      <c r="F90" s="1"/>
    </row>
    <row r="91" ht="15.75" customHeight="1">
      <c r="A91" s="1"/>
      <c r="B91" s="1"/>
      <c r="C91" s="1"/>
      <c r="D91" s="1"/>
      <c r="E91" s="1"/>
      <c r="F91" s="1"/>
    </row>
    <row r="92" ht="15.75" customHeight="1">
      <c r="A92" s="1"/>
      <c r="B92" s="1"/>
      <c r="C92" s="1"/>
      <c r="D92" s="1"/>
      <c r="E92" s="1"/>
      <c r="F92" s="1"/>
    </row>
    <row r="93" ht="15.75" customHeight="1">
      <c r="A93" s="1"/>
      <c r="B93" s="1"/>
      <c r="C93" s="1"/>
      <c r="D93" s="1"/>
      <c r="E93" s="1"/>
      <c r="F93" s="1"/>
    </row>
    <row r="94" ht="15.75" customHeight="1">
      <c r="A94" s="1"/>
      <c r="B94" s="1"/>
      <c r="C94" s="1"/>
      <c r="D94" s="1"/>
      <c r="E94" s="1"/>
      <c r="F94" s="1"/>
    </row>
    <row r="95" ht="15.75" customHeight="1">
      <c r="A95" s="1"/>
      <c r="B95" s="1"/>
      <c r="C95" s="1"/>
      <c r="D95" s="1"/>
      <c r="E95" s="1"/>
      <c r="F95" s="1"/>
    </row>
    <row r="96" ht="15.75" customHeight="1">
      <c r="A96" s="1"/>
      <c r="B96" s="1"/>
      <c r="C96" s="1"/>
      <c r="D96" s="1"/>
      <c r="E96" s="1"/>
      <c r="F96" s="1"/>
    </row>
    <row r="97" ht="15.75" customHeight="1">
      <c r="A97" s="1"/>
      <c r="B97" s="1"/>
      <c r="C97" s="1"/>
      <c r="D97" s="1"/>
      <c r="E97" s="1"/>
      <c r="F97" s="1"/>
    </row>
    <row r="98" ht="15.75" customHeight="1">
      <c r="A98" s="1"/>
      <c r="B98" s="1"/>
      <c r="C98" s="1"/>
      <c r="D98" s="1"/>
      <c r="E98" s="1"/>
      <c r="F98" s="1"/>
    </row>
    <row r="99" ht="15.75" customHeight="1">
      <c r="A99" s="1"/>
      <c r="B99" s="1"/>
      <c r="C99" s="1"/>
      <c r="D99" s="1"/>
      <c r="E99" s="1"/>
      <c r="F99" s="1"/>
    </row>
    <row r="100" ht="15.75" customHeight="1">
      <c r="A100" s="1"/>
      <c r="B100" s="1"/>
      <c r="C100" s="1"/>
      <c r="D100" s="1"/>
      <c r="E100" s="1"/>
      <c r="F100" s="1"/>
    </row>
    <row r="101" ht="15.75" customHeight="1">
      <c r="A101" s="1"/>
      <c r="B101" s="1"/>
      <c r="C101" s="1"/>
      <c r="D101" s="1"/>
      <c r="E101" s="1"/>
      <c r="F101" s="1"/>
    </row>
    <row r="102" ht="15.75" customHeight="1">
      <c r="A102" s="1"/>
      <c r="B102" s="1"/>
      <c r="C102" s="1"/>
      <c r="D102" s="1"/>
      <c r="E102" s="1"/>
      <c r="F102" s="1"/>
    </row>
    <row r="103" ht="15.75" customHeight="1">
      <c r="A103" s="1"/>
      <c r="B103" s="1"/>
      <c r="C103" s="1"/>
      <c r="D103" s="1"/>
      <c r="E103" s="1"/>
      <c r="F103" s="1"/>
    </row>
    <row r="104" ht="15.75" customHeight="1">
      <c r="A104" s="1"/>
      <c r="B104" s="1"/>
      <c r="C104" s="1"/>
      <c r="D104" s="1"/>
      <c r="E104" s="1"/>
      <c r="F104" s="1"/>
    </row>
    <row r="105" ht="15.75" customHeight="1">
      <c r="A105" s="1"/>
      <c r="B105" s="1"/>
      <c r="C105" s="1"/>
      <c r="D105" s="1"/>
      <c r="E105" s="1"/>
      <c r="F105" s="1"/>
    </row>
    <row r="106" ht="15.75" customHeight="1">
      <c r="A106" s="1"/>
      <c r="B106" s="1"/>
      <c r="C106" s="1"/>
      <c r="D106" s="1"/>
      <c r="E106" s="1"/>
      <c r="F106" s="1"/>
    </row>
    <row r="107" ht="15.75" customHeight="1">
      <c r="A107" s="1"/>
      <c r="B107" s="1"/>
      <c r="C107" s="1"/>
      <c r="D107" s="1"/>
      <c r="E107" s="1"/>
      <c r="F107" s="1"/>
    </row>
    <row r="108" ht="15.75" customHeight="1">
      <c r="A108" s="1"/>
      <c r="B108" s="1"/>
      <c r="C108" s="1"/>
      <c r="D108" s="1"/>
      <c r="E108" s="1"/>
      <c r="F108" s="1"/>
    </row>
    <row r="109" ht="15.75" customHeight="1">
      <c r="A109" s="1"/>
      <c r="B109" s="1"/>
      <c r="C109" s="1"/>
      <c r="D109" s="1"/>
      <c r="E109" s="1"/>
      <c r="F109" s="1"/>
    </row>
    <row r="110" ht="15.75" customHeight="1">
      <c r="A110" s="1"/>
      <c r="B110" s="1"/>
      <c r="C110" s="1"/>
      <c r="D110" s="1"/>
      <c r="E110" s="1"/>
      <c r="F110" s="1"/>
    </row>
    <row r="111" ht="15.75" customHeight="1">
      <c r="A111" s="1"/>
      <c r="B111" s="1"/>
      <c r="C111" s="1"/>
      <c r="D111" s="1"/>
      <c r="E111" s="1"/>
      <c r="F111" s="1"/>
    </row>
    <row r="112" ht="15.75" customHeight="1">
      <c r="A112" s="1"/>
      <c r="B112" s="1"/>
      <c r="C112" s="1"/>
      <c r="D112" s="1"/>
      <c r="E112" s="1"/>
      <c r="F112" s="1"/>
    </row>
    <row r="113" ht="15.75" customHeight="1">
      <c r="A113" s="1"/>
      <c r="B113" s="1"/>
      <c r="C113" s="1"/>
      <c r="D113" s="1"/>
      <c r="E113" s="1"/>
      <c r="F113" s="1"/>
    </row>
    <row r="114" ht="15.75" customHeight="1">
      <c r="A114" s="1"/>
      <c r="B114" s="1"/>
      <c r="C114" s="1"/>
      <c r="D114" s="1"/>
      <c r="E114" s="1"/>
      <c r="F114" s="1"/>
    </row>
    <row r="115" ht="15.75" customHeight="1">
      <c r="A115" s="1"/>
      <c r="B115" s="1"/>
      <c r="C115" s="1"/>
      <c r="D115" s="1"/>
      <c r="E115" s="1"/>
      <c r="F115" s="1"/>
    </row>
    <row r="116" ht="15.75" customHeight="1">
      <c r="A116" s="1"/>
      <c r="B116" s="1"/>
      <c r="C116" s="1"/>
      <c r="D116" s="1"/>
      <c r="E116" s="1"/>
      <c r="F116" s="1"/>
    </row>
    <row r="117" ht="15.75" customHeight="1">
      <c r="A117" s="1"/>
      <c r="B117" s="1"/>
      <c r="C117" s="1"/>
      <c r="D117" s="1"/>
      <c r="E117" s="1"/>
      <c r="F117" s="1"/>
    </row>
    <row r="118" ht="15.75" customHeight="1">
      <c r="A118" s="1"/>
      <c r="B118" s="1"/>
      <c r="C118" s="1"/>
      <c r="D118" s="1"/>
      <c r="E118" s="1"/>
      <c r="F118" s="1"/>
    </row>
    <row r="119" ht="15.75" customHeight="1">
      <c r="A119" s="1"/>
      <c r="B119" s="1"/>
      <c r="C119" s="1"/>
      <c r="D119" s="1"/>
      <c r="E119" s="1"/>
      <c r="F119" s="1"/>
    </row>
    <row r="120" ht="15.75" customHeight="1">
      <c r="A120" s="1"/>
      <c r="B120" s="1"/>
      <c r="C120" s="1"/>
      <c r="D120" s="1"/>
      <c r="E120" s="1"/>
      <c r="F120" s="1"/>
    </row>
    <row r="121" ht="15.75" customHeight="1">
      <c r="A121" s="1"/>
      <c r="B121" s="1"/>
      <c r="C121" s="1"/>
      <c r="D121" s="1"/>
      <c r="E121" s="1"/>
      <c r="F121" s="1"/>
    </row>
    <row r="122" ht="15.75" customHeight="1">
      <c r="A122" s="1"/>
      <c r="B122" s="1"/>
      <c r="C122" s="1"/>
      <c r="D122" s="1"/>
      <c r="E122" s="1"/>
      <c r="F122" s="1"/>
    </row>
    <row r="123" ht="15.75" customHeight="1">
      <c r="A123" s="1"/>
      <c r="B123" s="1"/>
      <c r="C123" s="1"/>
      <c r="D123" s="1"/>
      <c r="E123" s="1"/>
      <c r="F123" s="1"/>
    </row>
    <row r="124" ht="15.75" customHeight="1">
      <c r="A124" s="1"/>
      <c r="B124" s="1"/>
      <c r="C124" s="1"/>
      <c r="D124" s="1"/>
      <c r="E124" s="1"/>
      <c r="F124" s="1"/>
    </row>
    <row r="125" ht="15.75" customHeight="1">
      <c r="A125" s="1"/>
      <c r="B125" s="1"/>
      <c r="C125" s="1"/>
      <c r="D125" s="1"/>
      <c r="E125" s="1"/>
      <c r="F125" s="1"/>
    </row>
    <row r="126" ht="15.75" customHeight="1">
      <c r="A126" s="1"/>
      <c r="B126" s="1"/>
      <c r="C126" s="1"/>
      <c r="D126" s="1"/>
      <c r="E126" s="1"/>
      <c r="F126" s="1"/>
    </row>
    <row r="127" ht="15.75" customHeight="1">
      <c r="A127" s="1"/>
      <c r="B127" s="1"/>
      <c r="C127" s="1"/>
      <c r="D127" s="1"/>
      <c r="E127" s="1"/>
      <c r="F127" s="1"/>
    </row>
    <row r="128" ht="15.75" customHeight="1">
      <c r="A128" s="1"/>
      <c r="B128" s="1"/>
      <c r="C128" s="1"/>
      <c r="D128" s="1"/>
      <c r="E128" s="1"/>
      <c r="F128" s="1"/>
    </row>
    <row r="129" ht="15.75" customHeight="1">
      <c r="A129" s="1"/>
      <c r="B129" s="1"/>
      <c r="C129" s="1"/>
      <c r="D129" s="1"/>
      <c r="E129" s="1"/>
      <c r="F129" s="1"/>
    </row>
    <row r="130" ht="15.75" customHeight="1">
      <c r="A130" s="1"/>
      <c r="B130" s="1"/>
      <c r="C130" s="1"/>
      <c r="D130" s="1"/>
      <c r="E130" s="1"/>
      <c r="F130" s="1"/>
    </row>
    <row r="131" ht="15.75" customHeight="1">
      <c r="A131" s="1"/>
      <c r="B131" s="1"/>
      <c r="C131" s="1"/>
      <c r="D131" s="1"/>
      <c r="E131" s="1"/>
      <c r="F131" s="1"/>
    </row>
    <row r="132" ht="15.75" customHeight="1">
      <c r="A132" s="1"/>
      <c r="B132" s="1"/>
      <c r="C132" s="1"/>
      <c r="D132" s="1"/>
      <c r="E132" s="1"/>
      <c r="F132" s="1"/>
    </row>
    <row r="133" ht="15.75" customHeight="1">
      <c r="A133" s="1"/>
      <c r="B133" s="1"/>
      <c r="C133" s="1"/>
      <c r="D133" s="1"/>
      <c r="E133" s="1"/>
      <c r="F133" s="1"/>
    </row>
    <row r="134" ht="15.75" customHeight="1">
      <c r="A134" s="1"/>
      <c r="B134" s="1"/>
      <c r="C134" s="1"/>
      <c r="D134" s="1"/>
      <c r="E134" s="1"/>
      <c r="F134" s="1"/>
    </row>
    <row r="135" ht="15.75" customHeight="1">
      <c r="A135" s="1"/>
      <c r="B135" s="1"/>
      <c r="C135" s="1"/>
      <c r="D135" s="1"/>
      <c r="E135" s="1"/>
      <c r="F135" s="1"/>
    </row>
    <row r="136" ht="15.75" customHeight="1">
      <c r="A136" s="1"/>
      <c r="B136" s="1"/>
      <c r="C136" s="1"/>
      <c r="D136" s="1"/>
      <c r="E136" s="1"/>
      <c r="F136" s="1"/>
    </row>
    <row r="137" ht="15.75" customHeight="1">
      <c r="A137" s="1"/>
      <c r="B137" s="1"/>
      <c r="C137" s="1"/>
      <c r="D137" s="1"/>
      <c r="E137" s="1"/>
      <c r="F137" s="1"/>
    </row>
    <row r="138" ht="15.75" customHeight="1">
      <c r="A138" s="1"/>
      <c r="B138" s="1"/>
      <c r="C138" s="1"/>
      <c r="D138" s="1"/>
      <c r="E138" s="1"/>
      <c r="F138" s="1"/>
    </row>
    <row r="139" ht="15.75" customHeight="1">
      <c r="A139" s="1"/>
      <c r="B139" s="1"/>
      <c r="C139" s="1"/>
      <c r="D139" s="1"/>
      <c r="E139" s="1"/>
      <c r="F139" s="1"/>
    </row>
    <row r="140" ht="15.75" customHeight="1">
      <c r="A140" s="1"/>
      <c r="B140" s="1"/>
      <c r="C140" s="1"/>
      <c r="D140" s="1"/>
      <c r="E140" s="1"/>
      <c r="F140" s="1"/>
    </row>
    <row r="141" ht="15.75" customHeight="1">
      <c r="A141" s="1"/>
      <c r="B141" s="1"/>
      <c r="C141" s="1"/>
      <c r="D141" s="1"/>
      <c r="E141" s="1"/>
      <c r="F141" s="1"/>
    </row>
    <row r="142" ht="15.75" customHeight="1">
      <c r="A142" s="1"/>
      <c r="B142" s="1"/>
      <c r="C142" s="1"/>
      <c r="D142" s="1"/>
      <c r="E142" s="1"/>
      <c r="F142" s="1"/>
    </row>
    <row r="143" ht="15.75" customHeight="1">
      <c r="A143" s="1"/>
      <c r="B143" s="1"/>
      <c r="C143" s="1"/>
      <c r="D143" s="1"/>
      <c r="E143" s="1"/>
      <c r="F143" s="1"/>
    </row>
    <row r="144" ht="15.75" customHeight="1">
      <c r="A144" s="1"/>
      <c r="B144" s="1"/>
      <c r="C144" s="1"/>
      <c r="D144" s="1"/>
      <c r="E144" s="1"/>
      <c r="F144" s="1"/>
    </row>
    <row r="145" ht="15.75" customHeight="1">
      <c r="A145" s="1"/>
      <c r="B145" s="1"/>
      <c r="C145" s="1"/>
      <c r="D145" s="1"/>
      <c r="E145" s="1"/>
      <c r="F145" s="1"/>
    </row>
    <row r="146" ht="15.75" customHeight="1">
      <c r="A146" s="1"/>
      <c r="B146" s="1"/>
      <c r="C146" s="1"/>
      <c r="D146" s="1"/>
      <c r="E146" s="1"/>
      <c r="F146" s="1"/>
    </row>
    <row r="147" ht="15.75" customHeight="1">
      <c r="A147" s="1"/>
      <c r="B147" s="1"/>
      <c r="C147" s="1"/>
      <c r="D147" s="1"/>
      <c r="E147" s="1"/>
      <c r="F147" s="1"/>
    </row>
    <row r="148" ht="15.75" customHeight="1">
      <c r="A148" s="1"/>
      <c r="B148" s="1"/>
      <c r="C148" s="1"/>
      <c r="D148" s="1"/>
      <c r="E148" s="1"/>
      <c r="F148" s="1"/>
    </row>
    <row r="149" ht="15.75" customHeight="1">
      <c r="A149" s="1"/>
      <c r="B149" s="1"/>
      <c r="C149" s="1"/>
      <c r="D149" s="1"/>
      <c r="E149" s="1"/>
      <c r="F149" s="1"/>
    </row>
    <row r="150" ht="15.75" customHeight="1">
      <c r="A150" s="1"/>
      <c r="B150" s="1"/>
      <c r="C150" s="1"/>
      <c r="D150" s="1"/>
      <c r="E150" s="1"/>
      <c r="F150" s="1"/>
    </row>
    <row r="151" ht="15.75" customHeight="1">
      <c r="A151" s="1"/>
      <c r="B151" s="1"/>
      <c r="C151" s="1"/>
      <c r="D151" s="1"/>
      <c r="E151" s="1"/>
      <c r="F151" s="1"/>
    </row>
    <row r="152" ht="15.75" customHeight="1">
      <c r="A152" s="1"/>
      <c r="B152" s="1"/>
      <c r="C152" s="1"/>
      <c r="D152" s="1"/>
      <c r="E152" s="1"/>
      <c r="F152" s="1"/>
    </row>
    <row r="153" ht="15.75" customHeight="1">
      <c r="A153" s="1"/>
      <c r="B153" s="1"/>
      <c r="C153" s="1"/>
      <c r="D153" s="1"/>
      <c r="E153" s="1"/>
      <c r="F153" s="1"/>
    </row>
    <row r="154" ht="15.75" customHeight="1">
      <c r="A154" s="1"/>
      <c r="B154" s="1"/>
      <c r="C154" s="1"/>
      <c r="D154" s="1"/>
      <c r="E154" s="1"/>
      <c r="F154" s="1"/>
    </row>
    <row r="155" ht="15.75" customHeight="1">
      <c r="A155" s="1"/>
      <c r="B155" s="1"/>
      <c r="C155" s="1"/>
      <c r="D155" s="1"/>
      <c r="E155" s="1"/>
      <c r="F155" s="1"/>
    </row>
    <row r="156" ht="15.75" customHeight="1">
      <c r="A156" s="1"/>
      <c r="B156" s="1"/>
      <c r="C156" s="1"/>
      <c r="D156" s="1"/>
      <c r="E156" s="1"/>
      <c r="F156" s="1"/>
    </row>
    <row r="157" ht="15.75" customHeight="1">
      <c r="A157" s="1"/>
      <c r="B157" s="1"/>
      <c r="C157" s="1"/>
      <c r="D157" s="1"/>
      <c r="E157" s="1"/>
      <c r="F157" s="1"/>
    </row>
    <row r="158" ht="15.75" customHeight="1">
      <c r="A158" s="1"/>
      <c r="B158" s="1"/>
      <c r="C158" s="1"/>
      <c r="D158" s="1"/>
      <c r="E158" s="1"/>
      <c r="F158" s="1"/>
    </row>
    <row r="159" ht="15.75" customHeight="1">
      <c r="A159" s="1"/>
      <c r="B159" s="1"/>
      <c r="C159" s="1"/>
      <c r="D159" s="1"/>
      <c r="E159" s="1"/>
      <c r="F159" s="1"/>
    </row>
    <row r="160" ht="15.75" customHeight="1">
      <c r="A160" s="1"/>
      <c r="B160" s="1"/>
      <c r="C160" s="1"/>
      <c r="D160" s="1"/>
      <c r="E160" s="1"/>
      <c r="F160" s="1"/>
    </row>
    <row r="161" ht="15.75" customHeight="1">
      <c r="A161" s="1"/>
      <c r="B161" s="1"/>
      <c r="C161" s="1"/>
      <c r="D161" s="1"/>
      <c r="E161" s="1"/>
      <c r="F161" s="1"/>
    </row>
    <row r="162" ht="15.75" customHeight="1">
      <c r="A162" s="1"/>
      <c r="B162" s="1"/>
      <c r="C162" s="1"/>
      <c r="D162" s="1"/>
      <c r="E162" s="1"/>
      <c r="F162" s="1"/>
    </row>
    <row r="163" ht="15.75" customHeight="1">
      <c r="A163" s="1"/>
      <c r="B163" s="1"/>
      <c r="C163" s="1"/>
      <c r="D163" s="1"/>
      <c r="E163" s="1"/>
      <c r="F163" s="1"/>
    </row>
    <row r="164" ht="15.75" customHeight="1">
      <c r="A164" s="1"/>
      <c r="B164" s="1"/>
      <c r="C164" s="1"/>
      <c r="D164" s="1"/>
      <c r="E164" s="1"/>
      <c r="F164" s="1"/>
    </row>
    <row r="165" ht="15.75" customHeight="1">
      <c r="A165" s="1"/>
      <c r="B165" s="1"/>
      <c r="C165" s="1"/>
      <c r="D165" s="1"/>
      <c r="E165" s="1"/>
      <c r="F165" s="1"/>
    </row>
    <row r="166" ht="15.75" customHeight="1">
      <c r="A166" s="1"/>
      <c r="B166" s="1"/>
      <c r="C166" s="1"/>
      <c r="D166" s="1"/>
      <c r="E166" s="1"/>
      <c r="F166" s="1"/>
    </row>
    <row r="167" ht="15.75" customHeight="1">
      <c r="A167" s="1"/>
      <c r="B167" s="1"/>
      <c r="C167" s="1"/>
      <c r="D167" s="1"/>
      <c r="E167" s="1"/>
      <c r="F167" s="1"/>
    </row>
    <row r="168" ht="15.75" customHeight="1">
      <c r="A168" s="1"/>
      <c r="B168" s="1"/>
      <c r="C168" s="1"/>
      <c r="D168" s="1"/>
      <c r="E168" s="1"/>
      <c r="F168" s="1"/>
    </row>
    <row r="169" ht="15.75" customHeight="1">
      <c r="A169" s="1"/>
      <c r="B169" s="1"/>
      <c r="C169" s="1"/>
      <c r="D169" s="1"/>
      <c r="E169" s="1"/>
      <c r="F169" s="1"/>
    </row>
    <row r="170" ht="15.75" customHeight="1">
      <c r="A170" s="1"/>
      <c r="B170" s="1"/>
      <c r="C170" s="1"/>
      <c r="D170" s="1"/>
      <c r="E170" s="1"/>
      <c r="F170" s="1"/>
    </row>
    <row r="171" ht="15.75" customHeight="1">
      <c r="A171" s="1"/>
      <c r="B171" s="1"/>
      <c r="C171" s="1"/>
      <c r="D171" s="1"/>
      <c r="E171" s="1"/>
      <c r="F171" s="1"/>
    </row>
    <row r="172" ht="15.75" customHeight="1">
      <c r="A172" s="1"/>
      <c r="B172" s="1"/>
      <c r="C172" s="1"/>
      <c r="D172" s="1"/>
      <c r="E172" s="1"/>
      <c r="F172" s="1"/>
    </row>
    <row r="173" ht="15.75" customHeight="1">
      <c r="A173" s="1"/>
      <c r="B173" s="1"/>
      <c r="C173" s="1"/>
      <c r="D173" s="1"/>
      <c r="E173" s="1"/>
      <c r="F173" s="1"/>
    </row>
    <row r="174" ht="15.75" customHeight="1">
      <c r="A174" s="1"/>
      <c r="B174" s="1"/>
      <c r="C174" s="1"/>
      <c r="D174" s="1"/>
      <c r="E174" s="1"/>
      <c r="F174" s="1"/>
    </row>
    <row r="175" ht="15.75" customHeight="1">
      <c r="A175" s="1"/>
      <c r="B175" s="1"/>
      <c r="C175" s="1"/>
      <c r="D175" s="1"/>
      <c r="E175" s="1"/>
      <c r="F175" s="1"/>
    </row>
    <row r="176" ht="15.75" customHeight="1">
      <c r="A176" s="1"/>
      <c r="B176" s="1"/>
      <c r="C176" s="1"/>
      <c r="D176" s="1"/>
      <c r="E176" s="1"/>
      <c r="F176" s="1"/>
    </row>
    <row r="177" ht="15.75" customHeight="1">
      <c r="A177" s="1"/>
      <c r="B177" s="1"/>
      <c r="C177" s="1"/>
      <c r="D177" s="1"/>
      <c r="E177" s="1"/>
      <c r="F177" s="1"/>
    </row>
    <row r="178" ht="15.75" customHeight="1">
      <c r="A178" s="1"/>
      <c r="B178" s="1"/>
      <c r="C178" s="1"/>
      <c r="D178" s="1"/>
      <c r="E178" s="1"/>
      <c r="F178" s="1"/>
    </row>
    <row r="179" ht="15.75" customHeight="1">
      <c r="A179" s="1"/>
      <c r="B179" s="1"/>
      <c r="C179" s="1"/>
      <c r="D179" s="1"/>
      <c r="E179" s="1"/>
      <c r="F179" s="1"/>
    </row>
    <row r="180" ht="15.75" customHeight="1">
      <c r="A180" s="1"/>
      <c r="B180" s="1"/>
      <c r="C180" s="1"/>
      <c r="D180" s="1"/>
      <c r="E180" s="1"/>
      <c r="F180" s="1"/>
    </row>
    <row r="181" ht="15.75" customHeight="1">
      <c r="A181" s="1"/>
      <c r="B181" s="1"/>
      <c r="C181" s="1"/>
      <c r="D181" s="1"/>
      <c r="E181" s="1"/>
      <c r="F181" s="1"/>
    </row>
    <row r="182" ht="15.75" customHeight="1">
      <c r="A182" s="1"/>
      <c r="B182" s="1"/>
      <c r="C182" s="1"/>
      <c r="D182" s="1"/>
      <c r="E182" s="1"/>
      <c r="F182" s="1"/>
    </row>
    <row r="183" ht="15.75" customHeight="1">
      <c r="A183" s="1"/>
      <c r="B183" s="1"/>
      <c r="C183" s="1"/>
      <c r="D183" s="1"/>
      <c r="E183" s="1"/>
      <c r="F183" s="1"/>
    </row>
    <row r="184" ht="15.75" customHeight="1">
      <c r="A184" s="1"/>
      <c r="B184" s="1"/>
      <c r="C184" s="1"/>
      <c r="D184" s="1"/>
      <c r="E184" s="1"/>
      <c r="F184" s="1"/>
    </row>
    <row r="185" ht="15.75" customHeight="1">
      <c r="A185" s="1"/>
      <c r="B185" s="1"/>
      <c r="C185" s="1"/>
      <c r="D185" s="1"/>
      <c r="E185" s="1"/>
      <c r="F185" s="1"/>
    </row>
    <row r="186" ht="15.75" customHeight="1">
      <c r="A186" s="1"/>
      <c r="B186" s="1"/>
      <c r="C186" s="1"/>
      <c r="D186" s="1"/>
      <c r="E186" s="1"/>
      <c r="F186" s="1"/>
    </row>
    <row r="187" ht="15.75" customHeight="1">
      <c r="A187" s="1"/>
      <c r="B187" s="1"/>
      <c r="C187" s="1"/>
      <c r="D187" s="1"/>
      <c r="E187" s="1"/>
      <c r="F187" s="1"/>
    </row>
    <row r="188" ht="15.75" customHeight="1">
      <c r="A188" s="1"/>
      <c r="B188" s="1"/>
      <c r="C188" s="1"/>
      <c r="D188" s="1"/>
      <c r="E188" s="1"/>
      <c r="F188" s="1"/>
    </row>
    <row r="189" ht="15.75" customHeight="1">
      <c r="A189" s="1"/>
      <c r="B189" s="1"/>
      <c r="C189" s="1"/>
      <c r="D189" s="1"/>
      <c r="E189" s="1"/>
      <c r="F189" s="1"/>
    </row>
    <row r="190" ht="15.75" customHeight="1">
      <c r="A190" s="1"/>
      <c r="B190" s="1"/>
      <c r="C190" s="1"/>
      <c r="D190" s="1"/>
      <c r="E190" s="1"/>
      <c r="F190" s="1"/>
    </row>
    <row r="191" ht="15.75" customHeight="1">
      <c r="A191" s="1"/>
      <c r="B191" s="1"/>
      <c r="C191" s="1"/>
      <c r="D191" s="1"/>
      <c r="E191" s="1"/>
      <c r="F191" s="1"/>
    </row>
    <row r="192" ht="15.75" customHeight="1">
      <c r="A192" s="1"/>
      <c r="B192" s="1"/>
      <c r="C192" s="1"/>
      <c r="D192" s="1"/>
      <c r="E192" s="1"/>
      <c r="F192" s="1"/>
    </row>
    <row r="193" ht="15.75" customHeight="1">
      <c r="A193" s="1"/>
      <c r="B193" s="1"/>
      <c r="C193" s="1"/>
      <c r="D193" s="1"/>
      <c r="E193" s="1"/>
      <c r="F193" s="1"/>
    </row>
    <row r="194" ht="15.75" customHeight="1">
      <c r="A194" s="1"/>
      <c r="B194" s="1"/>
      <c r="C194" s="1"/>
      <c r="D194" s="1"/>
      <c r="E194" s="1"/>
      <c r="F194" s="1"/>
    </row>
    <row r="195" ht="15.75" customHeight="1">
      <c r="A195" s="1"/>
      <c r="B195" s="1"/>
      <c r="C195" s="1"/>
      <c r="D195" s="1"/>
      <c r="E195" s="1"/>
      <c r="F195" s="1"/>
    </row>
    <row r="196" ht="15.75" customHeight="1">
      <c r="A196" s="1"/>
      <c r="B196" s="1"/>
      <c r="C196" s="1"/>
      <c r="D196" s="1"/>
      <c r="E196" s="1"/>
      <c r="F196" s="1"/>
    </row>
    <row r="197" ht="15.75" customHeight="1">
      <c r="A197" s="1"/>
      <c r="B197" s="1"/>
      <c r="C197" s="1"/>
      <c r="D197" s="1"/>
      <c r="E197" s="1"/>
      <c r="F197" s="1"/>
    </row>
    <row r="198" ht="15.75" customHeight="1">
      <c r="A198" s="1"/>
      <c r="B198" s="1"/>
      <c r="C198" s="1"/>
      <c r="D198" s="1"/>
      <c r="E198" s="1"/>
      <c r="F198" s="1"/>
    </row>
    <row r="199" ht="15.75" customHeight="1">
      <c r="A199" s="1"/>
      <c r="B199" s="1"/>
      <c r="C199" s="1"/>
      <c r="D199" s="1"/>
      <c r="E199" s="1"/>
      <c r="F199" s="1"/>
    </row>
    <row r="200" ht="15.75" customHeight="1">
      <c r="A200" s="1"/>
      <c r="B200" s="1"/>
      <c r="C200" s="1"/>
      <c r="D200" s="1"/>
      <c r="E200" s="1"/>
      <c r="F200" s="1"/>
    </row>
    <row r="201" ht="15.75" customHeight="1">
      <c r="A201" s="1"/>
      <c r="B201" s="1"/>
      <c r="C201" s="1"/>
      <c r="D201" s="1"/>
      <c r="E201" s="1"/>
      <c r="F201" s="1"/>
    </row>
    <row r="202" ht="15.75" customHeight="1">
      <c r="A202" s="1"/>
      <c r="B202" s="1"/>
      <c r="C202" s="1"/>
      <c r="D202" s="1"/>
      <c r="E202" s="1"/>
      <c r="F202" s="1"/>
    </row>
    <row r="203" ht="15.75" customHeight="1">
      <c r="A203" s="1"/>
      <c r="B203" s="1"/>
      <c r="C203" s="1"/>
      <c r="D203" s="1"/>
      <c r="E203" s="1"/>
      <c r="F203" s="1"/>
    </row>
    <row r="204" ht="15.75" customHeight="1">
      <c r="A204" s="1"/>
      <c r="B204" s="1"/>
      <c r="C204" s="1"/>
      <c r="D204" s="1"/>
      <c r="E204" s="1"/>
      <c r="F204" s="1"/>
    </row>
    <row r="205" ht="15.75" customHeight="1">
      <c r="A205" s="1"/>
      <c r="B205" s="1"/>
      <c r="C205" s="1"/>
      <c r="D205" s="1"/>
      <c r="E205" s="1"/>
      <c r="F205" s="1"/>
    </row>
    <row r="206" ht="15.75" customHeight="1">
      <c r="A206" s="1"/>
      <c r="B206" s="1"/>
      <c r="C206" s="1"/>
      <c r="D206" s="1"/>
      <c r="E206" s="1"/>
      <c r="F206" s="1"/>
    </row>
    <row r="207" ht="15.75" customHeight="1">
      <c r="A207" s="1"/>
      <c r="B207" s="1"/>
      <c r="C207" s="1"/>
      <c r="D207" s="1"/>
      <c r="E207" s="1"/>
      <c r="F207" s="1"/>
    </row>
    <row r="208" ht="15.75" customHeight="1">
      <c r="A208" s="1"/>
      <c r="B208" s="1"/>
      <c r="C208" s="1"/>
      <c r="D208" s="1"/>
      <c r="E208" s="1"/>
      <c r="F208" s="1"/>
    </row>
    <row r="209" ht="15.75" customHeight="1">
      <c r="A209" s="1"/>
      <c r="B209" s="1"/>
      <c r="C209" s="1"/>
      <c r="D209" s="1"/>
      <c r="E209" s="1"/>
      <c r="F209" s="1"/>
    </row>
    <row r="210" ht="15.75" customHeight="1">
      <c r="A210" s="1"/>
      <c r="B210" s="1"/>
      <c r="C210" s="1"/>
      <c r="D210" s="1"/>
      <c r="E210" s="1"/>
      <c r="F210" s="1"/>
    </row>
    <row r="211" ht="15.75" customHeight="1">
      <c r="A211" s="1"/>
      <c r="B211" s="1"/>
      <c r="C211" s="1"/>
      <c r="D211" s="1"/>
      <c r="E211" s="1"/>
      <c r="F211" s="1"/>
    </row>
    <row r="212" ht="15.75" customHeight="1">
      <c r="A212" s="1"/>
      <c r="B212" s="1"/>
      <c r="C212" s="1"/>
      <c r="D212" s="1"/>
      <c r="E212" s="1"/>
      <c r="F212" s="1"/>
    </row>
    <row r="213" ht="15.75" customHeight="1">
      <c r="A213" s="1"/>
      <c r="B213" s="1"/>
      <c r="C213" s="1"/>
      <c r="D213" s="1"/>
      <c r="E213" s="1"/>
      <c r="F213" s="1"/>
    </row>
    <row r="214" ht="15.75" customHeight="1">
      <c r="A214" s="1"/>
      <c r="B214" s="1"/>
      <c r="C214" s="1"/>
      <c r="D214" s="1"/>
      <c r="E214" s="1"/>
      <c r="F214" s="1"/>
    </row>
    <row r="215" ht="15.75" customHeight="1">
      <c r="A215" s="1"/>
      <c r="B215" s="1"/>
      <c r="C215" s="1"/>
      <c r="D215" s="1"/>
      <c r="E215" s="1"/>
      <c r="F215" s="1"/>
    </row>
    <row r="216" ht="15.75" customHeight="1">
      <c r="A216" s="1"/>
      <c r="B216" s="1"/>
      <c r="C216" s="1"/>
      <c r="D216" s="1"/>
      <c r="E216" s="1"/>
      <c r="F216" s="1"/>
    </row>
    <row r="217" ht="15.75" customHeight="1">
      <c r="A217" s="1"/>
      <c r="B217" s="1"/>
      <c r="C217" s="1"/>
      <c r="D217" s="1"/>
      <c r="E217" s="1"/>
      <c r="F217" s="1"/>
    </row>
    <row r="218" ht="15.75" customHeight="1">
      <c r="A218" s="1"/>
      <c r="B218" s="1"/>
      <c r="C218" s="1"/>
      <c r="D218" s="1"/>
      <c r="E218" s="1"/>
      <c r="F218" s="1"/>
    </row>
    <row r="219" ht="15.75" customHeight="1">
      <c r="A219" s="1"/>
      <c r="B219" s="1"/>
      <c r="C219" s="1"/>
      <c r="D219" s="1"/>
      <c r="E219" s="1"/>
      <c r="F219" s="1"/>
    </row>
    <row r="220" ht="15.75" customHeight="1">
      <c r="A220" s="1"/>
      <c r="B220" s="1"/>
      <c r="C220" s="1"/>
      <c r="D220" s="1"/>
      <c r="E220" s="1"/>
      <c r="F220" s="1"/>
    </row>
    <row r="221" ht="15.75" customHeight="1">
      <c r="A221" s="1"/>
      <c r="B221" s="1"/>
      <c r="C221" s="1"/>
      <c r="D221" s="1"/>
      <c r="E221" s="1"/>
      <c r="F221" s="1"/>
    </row>
    <row r="222" ht="15.75" customHeight="1">
      <c r="A222" s="1"/>
      <c r="B222" s="1"/>
      <c r="C222" s="1"/>
      <c r="D222" s="1"/>
      <c r="E222" s="1"/>
      <c r="F222" s="1"/>
    </row>
    <row r="223" ht="15.75" customHeight="1">
      <c r="A223" s="1"/>
      <c r="B223" s="1"/>
      <c r="C223" s="1"/>
      <c r="D223" s="1"/>
      <c r="E223" s="1"/>
      <c r="F223" s="1"/>
    </row>
    <row r="224" ht="15.75" customHeight="1">
      <c r="A224" s="1"/>
      <c r="B224" s="1"/>
      <c r="C224" s="1"/>
      <c r="D224" s="1"/>
      <c r="E224" s="1"/>
      <c r="F224" s="1"/>
    </row>
    <row r="225" ht="15.75" customHeight="1">
      <c r="A225" s="1"/>
      <c r="B225" s="1"/>
      <c r="C225" s="1"/>
      <c r="D225" s="1"/>
      <c r="E225" s="1"/>
      <c r="F225" s="1"/>
    </row>
    <row r="226" ht="15.75" customHeight="1">
      <c r="A226" s="1"/>
      <c r="B226" s="1"/>
      <c r="C226" s="1"/>
      <c r="D226" s="1"/>
      <c r="E226" s="1"/>
      <c r="F226" s="1"/>
    </row>
    <row r="227" ht="15.75" customHeight="1">
      <c r="A227" s="1"/>
      <c r="B227" s="1"/>
      <c r="C227" s="1"/>
      <c r="D227" s="1"/>
      <c r="E227" s="1"/>
      <c r="F227" s="1"/>
    </row>
    <row r="228" ht="15.75" customHeight="1">
      <c r="A228" s="1"/>
      <c r="B228" s="1"/>
      <c r="C228" s="1"/>
      <c r="D228" s="1"/>
      <c r="E228" s="1"/>
      <c r="F228" s="1"/>
    </row>
    <row r="229" ht="15.75" customHeight="1">
      <c r="A229" s="1"/>
      <c r="B229" s="1"/>
      <c r="C229" s="1"/>
      <c r="D229" s="1"/>
      <c r="E229" s="1"/>
      <c r="F229" s="1"/>
    </row>
    <row r="230" ht="15.75" customHeight="1">
      <c r="A230" s="1"/>
      <c r="B230" s="1"/>
      <c r="C230" s="1"/>
      <c r="D230" s="1"/>
      <c r="E230" s="1"/>
      <c r="F230" s="1"/>
    </row>
    <row r="231" ht="15.75" customHeight="1">
      <c r="A231" s="1"/>
      <c r="B231" s="1"/>
      <c r="C231" s="1"/>
      <c r="D231" s="1"/>
      <c r="E231" s="1"/>
      <c r="F231" s="1"/>
    </row>
    <row r="232" ht="15.75" customHeight="1">
      <c r="A232" s="1"/>
      <c r="B232" s="1"/>
      <c r="C232" s="1"/>
      <c r="D232" s="1"/>
      <c r="E232" s="1"/>
      <c r="F232" s="1"/>
    </row>
    <row r="233" ht="15.75" customHeight="1">
      <c r="A233" s="1"/>
      <c r="B233" s="1"/>
      <c r="C233" s="1"/>
      <c r="D233" s="1"/>
      <c r="E233" s="1"/>
      <c r="F233" s="1"/>
    </row>
    <row r="234" ht="15.75" customHeight="1">
      <c r="A234" s="1"/>
      <c r="B234" s="1"/>
      <c r="C234" s="1"/>
      <c r="D234" s="1"/>
      <c r="E234" s="1"/>
      <c r="F234" s="1"/>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22">
    <mergeCell ref="B1:E2"/>
    <mergeCell ref="B3:E4"/>
    <mergeCell ref="B6:E6"/>
    <mergeCell ref="B12:E12"/>
    <mergeCell ref="C13:E13"/>
    <mergeCell ref="C14:E14"/>
    <mergeCell ref="C15:E15"/>
    <mergeCell ref="B24:E25"/>
    <mergeCell ref="B27:E27"/>
    <mergeCell ref="B28:E28"/>
    <mergeCell ref="B29:E29"/>
    <mergeCell ref="B30:E30"/>
    <mergeCell ref="B31:E31"/>
    <mergeCell ref="B32:E32"/>
    <mergeCell ref="B34:E34"/>
    <mergeCell ref="C16:E16"/>
    <mergeCell ref="C17:E17"/>
    <mergeCell ref="C18:E18"/>
    <mergeCell ref="C19:E19"/>
    <mergeCell ref="C20:E20"/>
    <mergeCell ref="C21:E21"/>
    <mergeCell ref="B23:E23"/>
  </mergeCells>
  <conditionalFormatting sqref="C8:C10">
    <cfRule type="expression" dxfId="0" priority="1">
      <formula>$D8="Y"</formula>
    </cfRule>
  </conditionalFormatting>
  <dataValidations>
    <dataValidation type="list" allowBlank="1" sqref="D8:D10">
      <formula1>"Y,N"</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6EFCE"/>
    <pageSetUpPr/>
  </sheetPr>
  <sheetViews>
    <sheetView showGridLines="0" workbookViewId="0"/>
  </sheetViews>
  <sheetFormatPr customHeight="1" defaultColWidth="14.43" defaultRowHeight="15.0"/>
  <cols>
    <col customWidth="1" min="1" max="1" width="6.86"/>
    <col customWidth="1" min="2" max="2" width="18.86"/>
    <col customWidth="1" min="3" max="3" width="25.0"/>
    <col customWidth="1" min="4" max="4" width="27.29"/>
    <col customWidth="1" min="5" max="5" width="23.0"/>
    <col customWidth="1" min="6" max="6" width="20.0"/>
    <col customWidth="1" min="7" max="7" width="19.57"/>
    <col customWidth="1" min="8" max="8" width="24.14"/>
    <col customWidth="1" min="9" max="9" width="14.0"/>
    <col customWidth="1" min="10" max="24" width="8.71"/>
  </cols>
  <sheetData>
    <row r="1" ht="19.5" customHeight="1">
      <c r="A1" s="1"/>
      <c r="B1" s="5" t="s">
        <v>4</v>
      </c>
      <c r="J1" s="1"/>
      <c r="K1" s="1"/>
      <c r="L1" s="1"/>
      <c r="M1" s="1"/>
      <c r="N1" s="1"/>
      <c r="O1" s="1"/>
      <c r="P1" s="1"/>
      <c r="Q1" s="1"/>
      <c r="R1" s="1"/>
      <c r="S1" s="1"/>
      <c r="T1" s="1"/>
      <c r="V1" s="1"/>
      <c r="W1" s="1"/>
      <c r="Y1" s="1"/>
      <c r="Z1" s="1"/>
    </row>
    <row r="2" ht="15.0" customHeight="1">
      <c r="A2" s="1"/>
      <c r="B2" s="1"/>
      <c r="C2" s="1"/>
      <c r="D2" s="1"/>
      <c r="E2" s="1"/>
      <c r="F2" s="1"/>
      <c r="G2" s="1"/>
      <c r="H2" s="1"/>
      <c r="I2" s="1"/>
      <c r="J2" s="1"/>
      <c r="K2" s="1"/>
      <c r="L2" s="1"/>
      <c r="M2" s="1"/>
      <c r="N2" s="1"/>
      <c r="O2" s="1"/>
      <c r="P2" s="1"/>
      <c r="Q2" s="1"/>
      <c r="R2" s="1"/>
      <c r="S2" s="1"/>
      <c r="T2" s="1"/>
      <c r="U2" s="1"/>
      <c r="W2" s="1"/>
      <c r="X2" s="1"/>
      <c r="Y2" s="1"/>
      <c r="Z2" s="1"/>
    </row>
    <row r="3" ht="15.0" customHeight="1">
      <c r="A3" s="1"/>
      <c r="B3" s="1"/>
      <c r="C3" s="1"/>
      <c r="D3" s="1"/>
      <c r="E3" s="1"/>
      <c r="F3" s="1"/>
      <c r="G3" s="1"/>
      <c r="H3" s="1"/>
      <c r="I3" s="1"/>
      <c r="J3" s="1"/>
      <c r="K3" s="1"/>
      <c r="L3" s="1"/>
      <c r="M3" s="1"/>
      <c r="N3" s="1"/>
      <c r="O3" s="1"/>
      <c r="P3" s="1"/>
      <c r="Q3" s="1"/>
      <c r="R3" s="1"/>
      <c r="S3" s="1"/>
      <c r="T3" s="1"/>
      <c r="U3" s="1"/>
      <c r="V3" s="1"/>
      <c r="W3" s="1"/>
      <c r="X3" s="1"/>
      <c r="Y3" s="1"/>
      <c r="Z3" s="1"/>
    </row>
    <row r="4" ht="22.5" customHeight="1">
      <c r="A4" s="1"/>
      <c r="B4" s="11" t="s">
        <v>19</v>
      </c>
      <c r="C4" s="11" t="s">
        <v>20</v>
      </c>
      <c r="D4" s="11" t="s">
        <v>21</v>
      </c>
      <c r="E4" s="11" t="s">
        <v>23</v>
      </c>
      <c r="F4" s="11" t="s">
        <v>24</v>
      </c>
      <c r="G4" s="1"/>
      <c r="H4" s="14" t="s">
        <v>25</v>
      </c>
      <c r="J4" s="1"/>
      <c r="K4" s="1"/>
      <c r="L4" s="1"/>
      <c r="M4" s="1"/>
      <c r="N4" s="1"/>
      <c r="O4" s="1"/>
      <c r="P4" s="1"/>
      <c r="Q4" s="1"/>
      <c r="R4" s="1"/>
      <c r="S4" s="1"/>
      <c r="T4" s="1"/>
      <c r="U4" s="1"/>
      <c r="V4" s="1"/>
      <c r="W4" s="1"/>
      <c r="X4" s="1"/>
      <c r="Y4" s="1"/>
      <c r="Z4" s="1"/>
    </row>
    <row r="5" ht="15.0" customHeight="1">
      <c r="A5" s="1"/>
      <c r="B5" s="22" t="s">
        <v>43</v>
      </c>
      <c r="C5" s="22" t="s">
        <v>49</v>
      </c>
      <c r="D5" s="24">
        <v>7000.0</v>
      </c>
      <c r="E5" s="26" t="s">
        <v>52</v>
      </c>
      <c r="F5" s="28"/>
      <c r="G5" s="1"/>
      <c r="H5" s="31" t="s">
        <v>55</v>
      </c>
      <c r="I5" s="38">
        <f>SUMIF($B$5:$B$39,"Income",$D$5:$D$39)</f>
        <v>7000</v>
      </c>
      <c r="J5" s="1"/>
      <c r="K5" s="1"/>
      <c r="L5" s="1"/>
      <c r="M5" s="1"/>
      <c r="N5" s="1"/>
      <c r="O5" s="1"/>
      <c r="P5" s="1"/>
      <c r="Q5" s="1"/>
      <c r="R5" s="1"/>
      <c r="S5" s="1"/>
      <c r="T5" s="1"/>
      <c r="U5" s="1"/>
      <c r="V5" s="1"/>
      <c r="W5" s="1"/>
      <c r="X5" s="1"/>
      <c r="Y5" s="1"/>
      <c r="Z5" s="1"/>
    </row>
    <row r="6" ht="15.0" customHeight="1">
      <c r="A6" s="1"/>
      <c r="B6" s="39" t="s">
        <v>59</v>
      </c>
      <c r="C6" s="39" t="s">
        <v>60</v>
      </c>
      <c r="D6" s="40">
        <v>1900.0</v>
      </c>
      <c r="E6" s="41" t="s">
        <v>52</v>
      </c>
      <c r="F6" s="42"/>
      <c r="G6" s="1"/>
      <c r="H6" s="31" t="s">
        <v>61</v>
      </c>
      <c r="I6" s="43">
        <f>SUMIF($B$5:$B$39,"Expense",$D$5:$D$39)</f>
        <v>3600</v>
      </c>
      <c r="J6" s="1"/>
      <c r="K6" s="1"/>
      <c r="L6" s="1"/>
      <c r="M6" s="1"/>
      <c r="N6" s="1"/>
      <c r="O6" s="1"/>
      <c r="P6" s="1"/>
      <c r="Q6" s="1"/>
      <c r="R6" s="1"/>
      <c r="S6" s="1"/>
      <c r="T6" s="1"/>
      <c r="U6" s="1"/>
      <c r="V6" s="1"/>
      <c r="W6" s="1"/>
      <c r="X6" s="1"/>
      <c r="Y6" s="1"/>
      <c r="Z6" s="1"/>
    </row>
    <row r="7" ht="15.0" customHeight="1">
      <c r="A7" s="1"/>
      <c r="B7" s="39" t="s">
        <v>59</v>
      </c>
      <c r="C7" s="39" t="s">
        <v>62</v>
      </c>
      <c r="D7" s="40">
        <v>300.0</v>
      </c>
      <c r="E7" s="41" t="s">
        <v>63</v>
      </c>
      <c r="F7" s="39" t="s">
        <v>64</v>
      </c>
      <c r="G7" s="1"/>
      <c r="H7" s="31" t="s">
        <v>65</v>
      </c>
      <c r="I7" s="44">
        <f>SUMIF($B$5:$B$39,"Taxes",$D$5:$D$39)</f>
        <v>1700</v>
      </c>
      <c r="J7" s="1"/>
      <c r="K7" s="1"/>
      <c r="L7" s="1"/>
      <c r="M7" s="1"/>
      <c r="N7" s="1"/>
      <c r="O7" s="1"/>
      <c r="P7" s="1"/>
      <c r="Q7" s="1"/>
      <c r="R7" s="1"/>
      <c r="S7" s="1"/>
      <c r="T7" s="1"/>
      <c r="U7" s="1"/>
      <c r="V7" s="1"/>
      <c r="W7" s="1"/>
      <c r="X7" s="1"/>
      <c r="Y7" s="1"/>
      <c r="Z7" s="1"/>
    </row>
    <row r="8" ht="15.0" customHeight="1">
      <c r="A8" s="1"/>
      <c r="B8" s="39" t="s">
        <v>59</v>
      </c>
      <c r="C8" s="39" t="s">
        <v>66</v>
      </c>
      <c r="D8" s="40">
        <v>300.0</v>
      </c>
      <c r="E8" s="41" t="s">
        <v>63</v>
      </c>
      <c r="F8" s="42"/>
      <c r="G8" s="1"/>
      <c r="H8" s="31" t="s">
        <v>67</v>
      </c>
      <c r="I8" s="46">
        <f>SUMIF($B$5:$B$39,"Investing",$D$5:$D$39)</f>
        <v>1600</v>
      </c>
      <c r="J8" s="1"/>
      <c r="K8" s="1"/>
      <c r="L8" s="1"/>
      <c r="M8" s="1"/>
      <c r="N8" s="1"/>
      <c r="O8" s="1"/>
      <c r="P8" s="1"/>
      <c r="Q8" s="1"/>
      <c r="R8" s="1"/>
      <c r="S8" s="1"/>
      <c r="T8" s="1"/>
      <c r="U8" s="1"/>
      <c r="V8" s="1"/>
      <c r="W8" s="1"/>
      <c r="X8" s="1"/>
      <c r="Y8" s="1"/>
      <c r="Z8" s="1"/>
    </row>
    <row r="9" ht="15.0" customHeight="1">
      <c r="A9" s="1"/>
      <c r="B9" s="39" t="s">
        <v>59</v>
      </c>
      <c r="C9" s="39" t="s">
        <v>69</v>
      </c>
      <c r="D9" s="40">
        <v>400.0</v>
      </c>
      <c r="E9" s="41" t="s">
        <v>52</v>
      </c>
      <c r="F9" s="39" t="s">
        <v>71</v>
      </c>
      <c r="G9" s="1"/>
      <c r="H9" s="31" t="s">
        <v>72</v>
      </c>
      <c r="I9" s="50">
        <f>SUMPRODUCT(($B$43:$B$67="Subscription")*($E$43:$E$67)*IF($G$43:$G$67="Annual",1/12,1))</f>
        <v>20.33333333</v>
      </c>
      <c r="J9" s="1"/>
      <c r="K9" s="1"/>
      <c r="L9" s="1"/>
      <c r="M9" s="1"/>
      <c r="N9" s="1"/>
      <c r="O9" s="1"/>
      <c r="P9" s="1"/>
      <c r="Q9" s="1"/>
      <c r="R9" s="1"/>
      <c r="S9" s="1"/>
      <c r="T9" s="1"/>
      <c r="U9" s="1"/>
      <c r="V9" s="1"/>
      <c r="W9" s="1"/>
      <c r="X9" s="1"/>
      <c r="Y9" s="1"/>
      <c r="Z9" s="1"/>
    </row>
    <row r="10" ht="15.0" customHeight="1">
      <c r="A10" s="1"/>
      <c r="B10" s="39" t="s">
        <v>59</v>
      </c>
      <c r="C10" s="39" t="s">
        <v>78</v>
      </c>
      <c r="D10" s="40">
        <v>250.0</v>
      </c>
      <c r="E10" s="41" t="s">
        <v>52</v>
      </c>
      <c r="F10" s="39" t="s">
        <v>79</v>
      </c>
      <c r="G10" s="1"/>
      <c r="H10" s="31" t="s">
        <v>80</v>
      </c>
      <c r="I10" s="38">
        <f>I5-I6-I7-I8-I9</f>
        <v>79.66666667</v>
      </c>
      <c r="J10" s="1"/>
      <c r="K10" s="1"/>
      <c r="L10" s="1"/>
      <c r="M10" s="1"/>
      <c r="N10" s="1"/>
      <c r="O10" s="1"/>
      <c r="P10" s="1"/>
      <c r="Q10" s="1"/>
      <c r="R10" s="1"/>
      <c r="S10" s="1"/>
      <c r="T10" s="1"/>
      <c r="U10" s="1"/>
      <c r="V10" s="1"/>
      <c r="W10" s="1"/>
      <c r="X10" s="1"/>
      <c r="Y10" s="1"/>
      <c r="Z10" s="1"/>
    </row>
    <row r="11" ht="15.0" customHeight="1">
      <c r="A11" s="1"/>
      <c r="B11" s="39" t="s">
        <v>59</v>
      </c>
      <c r="C11" s="39" t="s">
        <v>83</v>
      </c>
      <c r="D11" s="56">
        <v>100.0</v>
      </c>
      <c r="E11" s="41" t="s">
        <v>63</v>
      </c>
      <c r="F11" s="42"/>
      <c r="G11" s="1"/>
      <c r="H11" s="62" t="s">
        <v>85</v>
      </c>
      <c r="I11" s="67">
        <f>IFERROR(I8/I5,0)</f>
        <v>0.2285714286</v>
      </c>
      <c r="J11" s="1"/>
      <c r="K11" s="1"/>
      <c r="L11" s="1"/>
      <c r="M11" s="1"/>
      <c r="N11" s="1"/>
      <c r="O11" s="1"/>
      <c r="P11" s="1"/>
      <c r="Q11" s="1"/>
      <c r="R11" s="1"/>
      <c r="S11" s="1"/>
      <c r="T11" s="1"/>
      <c r="U11" s="1"/>
      <c r="V11" s="1"/>
      <c r="W11" s="1"/>
      <c r="X11" s="1"/>
      <c r="Y11" s="1"/>
      <c r="Z11" s="1"/>
    </row>
    <row r="12" ht="15.0" customHeight="1">
      <c r="A12" s="1"/>
      <c r="B12" s="39" t="s">
        <v>59</v>
      </c>
      <c r="C12" s="39" t="s">
        <v>107</v>
      </c>
      <c r="D12" s="71">
        <v>350.0</v>
      </c>
      <c r="E12" s="39" t="s">
        <v>52</v>
      </c>
      <c r="F12" s="39" t="s">
        <v>110</v>
      </c>
      <c r="G12" s="1"/>
      <c r="H12" s="73"/>
      <c r="I12" s="73"/>
      <c r="J12" s="1"/>
      <c r="K12" s="1"/>
      <c r="L12" s="1"/>
      <c r="M12" s="1"/>
      <c r="N12" s="1"/>
      <c r="O12" s="1"/>
      <c r="P12" s="1"/>
      <c r="Q12" s="1"/>
      <c r="R12" s="1"/>
      <c r="S12" s="1"/>
      <c r="T12" s="1"/>
      <c r="U12" s="1"/>
      <c r="V12" s="1"/>
      <c r="W12" s="1"/>
      <c r="X12" s="1"/>
      <c r="Y12" s="1"/>
      <c r="Z12" s="1"/>
    </row>
    <row r="13" ht="15.0" customHeight="1">
      <c r="A13" s="1"/>
      <c r="B13" s="39" t="s">
        <v>94</v>
      </c>
      <c r="C13" s="39" t="s">
        <v>104</v>
      </c>
      <c r="D13" s="74">
        <v>1000.0</v>
      </c>
      <c r="E13" s="42"/>
      <c r="F13" s="42"/>
      <c r="G13" s="1"/>
      <c r="H13" s="73"/>
      <c r="I13" s="73"/>
      <c r="J13" s="1"/>
      <c r="K13" s="1"/>
      <c r="L13" s="1"/>
      <c r="M13" s="1"/>
      <c r="N13" s="1"/>
      <c r="O13" s="1"/>
      <c r="P13" s="1"/>
      <c r="Q13" s="1"/>
      <c r="R13" s="1"/>
      <c r="S13" s="1"/>
      <c r="T13" s="1"/>
      <c r="U13" s="1"/>
      <c r="V13" s="1"/>
      <c r="W13" s="1"/>
      <c r="X13" s="1"/>
      <c r="Y13" s="1"/>
      <c r="Z13" s="1"/>
    </row>
    <row r="14" ht="15.0" customHeight="1">
      <c r="A14" s="1"/>
      <c r="B14" s="39" t="s">
        <v>94</v>
      </c>
      <c r="C14" s="39" t="s">
        <v>106</v>
      </c>
      <c r="D14" s="74">
        <v>500.0</v>
      </c>
      <c r="E14" s="42"/>
      <c r="F14" s="42"/>
      <c r="G14" s="1"/>
      <c r="H14" s="73"/>
      <c r="I14" s="73"/>
      <c r="J14" s="1"/>
      <c r="K14" s="1"/>
      <c r="L14" s="1"/>
      <c r="M14" s="1"/>
      <c r="N14" s="1"/>
      <c r="O14" s="1"/>
      <c r="P14" s="1"/>
      <c r="Q14" s="1"/>
      <c r="R14" s="1"/>
      <c r="S14" s="1"/>
      <c r="T14" s="1"/>
      <c r="U14" s="1"/>
      <c r="V14" s="1"/>
      <c r="W14" s="1"/>
      <c r="X14" s="1"/>
      <c r="Y14" s="1"/>
      <c r="Z14" s="1"/>
    </row>
    <row r="15" ht="15.0" customHeight="1">
      <c r="A15" s="1"/>
      <c r="B15" s="39" t="s">
        <v>94</v>
      </c>
      <c r="C15" s="39" t="s">
        <v>109</v>
      </c>
      <c r="D15" s="74">
        <v>200.0</v>
      </c>
      <c r="E15" s="42"/>
      <c r="F15" s="42"/>
      <c r="G15" s="1"/>
      <c r="H15" s="73"/>
      <c r="I15" s="73"/>
      <c r="J15" s="1"/>
      <c r="K15" s="1"/>
      <c r="L15" s="1"/>
      <c r="M15" s="1"/>
      <c r="N15" s="1"/>
      <c r="O15" s="1"/>
      <c r="P15" s="1"/>
      <c r="Q15" s="1"/>
      <c r="R15" s="1"/>
      <c r="S15" s="1"/>
      <c r="T15" s="1"/>
      <c r="U15" s="1"/>
      <c r="V15" s="1"/>
      <c r="W15" s="1"/>
      <c r="X15" s="1"/>
      <c r="Y15" s="1"/>
      <c r="Z15" s="1"/>
    </row>
    <row r="16" ht="15.0" customHeight="1">
      <c r="A16" s="1"/>
      <c r="B16" s="39" t="s">
        <v>96</v>
      </c>
      <c r="C16" s="39" t="s">
        <v>118</v>
      </c>
      <c r="D16" s="78">
        <v>1000.0</v>
      </c>
      <c r="E16" s="42"/>
      <c r="F16" s="42"/>
      <c r="G16" s="1"/>
      <c r="H16" s="73"/>
      <c r="I16" s="73"/>
      <c r="J16" s="1"/>
      <c r="K16" s="1"/>
      <c r="L16" s="1"/>
      <c r="M16" s="1"/>
      <c r="N16" s="1"/>
      <c r="O16" s="1"/>
      <c r="P16" s="1"/>
      <c r="Q16" s="1"/>
      <c r="R16" s="1"/>
      <c r="S16" s="1"/>
      <c r="T16" s="1"/>
      <c r="U16" s="1"/>
      <c r="V16" s="1"/>
      <c r="W16" s="1"/>
      <c r="X16" s="1"/>
      <c r="Y16" s="1"/>
      <c r="Z16" s="1"/>
    </row>
    <row r="17" ht="15.0" customHeight="1">
      <c r="A17" s="1"/>
      <c r="B17" s="39" t="s">
        <v>96</v>
      </c>
      <c r="C17" s="39" t="s">
        <v>117</v>
      </c>
      <c r="D17" s="78">
        <v>300.0</v>
      </c>
      <c r="E17" s="42"/>
      <c r="F17" s="42"/>
      <c r="G17" s="1"/>
      <c r="H17" s="1"/>
      <c r="I17" s="1"/>
      <c r="J17" s="1"/>
      <c r="K17" s="1"/>
      <c r="L17" s="1"/>
      <c r="M17" s="1"/>
      <c r="N17" s="1"/>
      <c r="O17" s="1"/>
      <c r="P17" s="1"/>
      <c r="Q17" s="1"/>
      <c r="R17" s="1"/>
      <c r="S17" s="1"/>
      <c r="T17" s="1"/>
      <c r="U17" s="1"/>
      <c r="V17" s="1"/>
      <c r="W17" s="1"/>
      <c r="X17" s="1"/>
      <c r="Y17" s="1"/>
      <c r="Z17" s="1"/>
    </row>
    <row r="18" ht="15.0" customHeight="1">
      <c r="A18" s="1"/>
      <c r="B18" s="39" t="s">
        <v>96</v>
      </c>
      <c r="C18" s="39" t="s">
        <v>116</v>
      </c>
      <c r="D18" s="78">
        <v>300.0</v>
      </c>
      <c r="E18" s="42"/>
      <c r="F18" s="42"/>
      <c r="G18" s="1"/>
      <c r="H18" s="1"/>
      <c r="I18" s="1"/>
      <c r="J18" s="1"/>
      <c r="K18" s="1"/>
      <c r="L18" s="1"/>
      <c r="M18" s="1"/>
      <c r="N18" s="1"/>
      <c r="O18" s="1"/>
      <c r="P18" s="1"/>
      <c r="Q18" s="1"/>
      <c r="R18" s="1"/>
      <c r="S18" s="1"/>
      <c r="T18" s="1"/>
      <c r="U18" s="1"/>
      <c r="V18" s="1"/>
      <c r="W18" s="1"/>
      <c r="X18" s="1"/>
      <c r="Y18" s="1"/>
      <c r="Z18" s="1"/>
    </row>
    <row r="19" ht="15.0" customHeight="1">
      <c r="A19" s="1"/>
      <c r="B19" s="42"/>
      <c r="C19" s="42"/>
      <c r="D19" s="80"/>
      <c r="E19" s="42"/>
      <c r="F19" s="42"/>
      <c r="G19" s="1"/>
      <c r="H19" s="1"/>
      <c r="I19" s="1"/>
      <c r="J19" s="1"/>
      <c r="K19" s="1"/>
      <c r="L19" s="1"/>
      <c r="M19" s="1"/>
      <c r="N19" s="1"/>
      <c r="O19" s="1"/>
      <c r="P19" s="1"/>
      <c r="Q19" s="1"/>
      <c r="R19" s="1"/>
      <c r="S19" s="1"/>
      <c r="T19" s="1"/>
      <c r="U19" s="1"/>
      <c r="V19" s="1"/>
      <c r="W19" s="1"/>
      <c r="X19" s="1"/>
      <c r="Y19" s="1"/>
      <c r="Z19" s="1"/>
    </row>
    <row r="20" ht="15.75" customHeight="1">
      <c r="A20" s="1"/>
      <c r="B20" s="42"/>
      <c r="C20" s="42"/>
      <c r="D20" s="80"/>
      <c r="E20" s="42"/>
      <c r="F20" s="42"/>
      <c r="G20" s="1"/>
      <c r="H20" s="1"/>
      <c r="I20" s="1"/>
      <c r="J20" s="1"/>
      <c r="K20" s="1"/>
      <c r="L20" s="1"/>
      <c r="M20" s="1"/>
      <c r="N20" s="1"/>
      <c r="O20" s="1"/>
      <c r="P20" s="1"/>
      <c r="Q20" s="1"/>
      <c r="R20" s="1"/>
      <c r="S20" s="1"/>
      <c r="T20" s="1"/>
      <c r="U20" s="1"/>
      <c r="V20" s="1"/>
      <c r="W20" s="1"/>
      <c r="X20" s="1"/>
      <c r="Y20" s="1"/>
      <c r="Z20" s="1"/>
    </row>
    <row r="21" ht="15.75" customHeight="1">
      <c r="A21" s="1"/>
      <c r="B21" s="42"/>
      <c r="C21" s="42"/>
      <c r="D21" s="80"/>
      <c r="E21" s="42"/>
      <c r="F21" s="42"/>
      <c r="G21" s="1"/>
      <c r="H21" s="1"/>
      <c r="I21" s="1"/>
      <c r="J21" s="1"/>
      <c r="K21" s="1"/>
      <c r="L21" s="1"/>
      <c r="M21" s="1"/>
      <c r="N21" s="1"/>
      <c r="O21" s="1"/>
      <c r="P21" s="1"/>
      <c r="Q21" s="1"/>
      <c r="R21" s="1"/>
      <c r="S21" s="1"/>
      <c r="T21" s="1"/>
      <c r="U21" s="1"/>
      <c r="V21" s="1"/>
      <c r="W21" s="1"/>
      <c r="X21" s="1"/>
      <c r="Y21" s="1"/>
      <c r="Z21" s="1"/>
    </row>
    <row r="22" ht="15.75" customHeight="1">
      <c r="A22" s="1"/>
      <c r="B22" s="42"/>
      <c r="C22" s="42"/>
      <c r="D22" s="80"/>
      <c r="E22" s="42"/>
      <c r="F22" s="42"/>
      <c r="G22" s="1"/>
      <c r="H22" s="1"/>
      <c r="I22" s="1"/>
      <c r="J22" s="1"/>
      <c r="K22" s="1"/>
      <c r="L22" s="1"/>
      <c r="M22" s="1"/>
      <c r="N22" s="1"/>
      <c r="O22" s="1"/>
      <c r="P22" s="1"/>
      <c r="Q22" s="1"/>
      <c r="R22" s="1"/>
      <c r="S22" s="1"/>
      <c r="T22" s="1"/>
      <c r="U22" s="1"/>
      <c r="V22" s="1"/>
      <c r="W22" s="1"/>
      <c r="X22" s="1"/>
      <c r="Y22" s="1"/>
      <c r="Z22" s="1"/>
    </row>
    <row r="23" ht="15.75" customHeight="1">
      <c r="A23" s="1"/>
      <c r="B23" s="42"/>
      <c r="C23" s="42"/>
      <c r="D23" s="80"/>
      <c r="E23" s="42"/>
      <c r="F23" s="42"/>
      <c r="G23" s="1"/>
      <c r="H23" s="1"/>
      <c r="I23" s="1"/>
      <c r="J23" s="1"/>
      <c r="K23" s="1"/>
      <c r="L23" s="1"/>
      <c r="M23" s="1"/>
      <c r="N23" s="1"/>
      <c r="O23" s="1"/>
      <c r="P23" s="1"/>
      <c r="Q23" s="1"/>
      <c r="R23" s="1"/>
      <c r="S23" s="1"/>
      <c r="T23" s="1"/>
      <c r="U23" s="1"/>
      <c r="V23" s="1"/>
      <c r="W23" s="1"/>
      <c r="X23" s="1"/>
      <c r="Y23" s="1"/>
      <c r="Z23" s="1"/>
    </row>
    <row r="24" ht="15.75" customHeight="1">
      <c r="A24" s="1"/>
      <c r="B24" s="42"/>
      <c r="C24" s="42"/>
      <c r="D24" s="80"/>
      <c r="E24" s="42"/>
      <c r="F24" s="42"/>
      <c r="G24" s="1"/>
      <c r="H24" s="1"/>
      <c r="I24" s="1"/>
      <c r="J24" s="1"/>
      <c r="K24" s="1"/>
      <c r="L24" s="1"/>
      <c r="M24" s="1"/>
      <c r="N24" s="1"/>
      <c r="O24" s="1"/>
      <c r="P24" s="1"/>
      <c r="Q24" s="1"/>
      <c r="R24" s="1"/>
      <c r="S24" s="1"/>
      <c r="T24" s="1"/>
      <c r="U24" s="1"/>
      <c r="V24" s="1"/>
      <c r="W24" s="1"/>
      <c r="X24" s="1"/>
      <c r="Y24" s="1"/>
      <c r="Z24" s="1"/>
    </row>
    <row r="25" ht="15.75" customHeight="1">
      <c r="A25" s="1"/>
      <c r="B25" s="42"/>
      <c r="C25" s="42"/>
      <c r="D25" s="80"/>
      <c r="E25" s="42"/>
      <c r="F25" s="42"/>
      <c r="G25" s="1"/>
      <c r="H25" s="1"/>
      <c r="I25" s="1"/>
      <c r="J25" s="1"/>
      <c r="K25" s="1"/>
      <c r="L25" s="1"/>
      <c r="M25" s="1"/>
      <c r="N25" s="1"/>
      <c r="O25" s="1"/>
      <c r="P25" s="1"/>
      <c r="Q25" s="1"/>
      <c r="R25" s="1"/>
      <c r="S25" s="1"/>
      <c r="T25" s="1"/>
      <c r="U25" s="1"/>
      <c r="V25" s="1"/>
      <c r="W25" s="1"/>
      <c r="X25" s="1"/>
      <c r="Y25" s="1"/>
      <c r="Z25" s="1"/>
    </row>
    <row r="26" ht="15.75" customHeight="1">
      <c r="A26" s="1"/>
      <c r="B26" s="42"/>
      <c r="C26" s="42"/>
      <c r="D26" s="86"/>
      <c r="E26" s="42"/>
      <c r="F26" s="42"/>
      <c r="G26" s="1"/>
      <c r="H26" s="1"/>
      <c r="I26" s="1"/>
      <c r="J26" s="1"/>
      <c r="K26" s="1"/>
      <c r="L26" s="1"/>
      <c r="M26" s="1"/>
      <c r="N26" s="1"/>
      <c r="O26" s="1"/>
      <c r="P26" s="1"/>
      <c r="Q26" s="1"/>
      <c r="R26" s="1"/>
      <c r="S26" s="1"/>
      <c r="T26" s="1"/>
      <c r="U26" s="1"/>
      <c r="V26" s="1"/>
      <c r="W26" s="1"/>
      <c r="X26" s="1"/>
      <c r="Y26" s="1"/>
      <c r="Z26" s="1"/>
    </row>
    <row r="27" ht="15.75" customHeight="1">
      <c r="A27" s="1"/>
      <c r="B27" s="42"/>
      <c r="C27" s="42"/>
      <c r="D27" s="80"/>
      <c r="E27" s="42"/>
      <c r="F27" s="42"/>
      <c r="G27" s="1"/>
      <c r="H27" s="1"/>
      <c r="I27" s="1"/>
      <c r="J27" s="1"/>
      <c r="K27" s="1"/>
      <c r="L27" s="1"/>
      <c r="M27" s="1"/>
      <c r="N27" s="1"/>
      <c r="O27" s="1"/>
      <c r="P27" s="1"/>
      <c r="Q27" s="1"/>
      <c r="R27" s="1"/>
      <c r="S27" s="1"/>
      <c r="T27" s="1"/>
      <c r="U27" s="1"/>
      <c r="V27" s="1"/>
      <c r="W27" s="1"/>
      <c r="X27" s="1"/>
      <c r="Y27" s="1"/>
      <c r="Z27" s="1"/>
    </row>
    <row r="28" ht="15.75" customHeight="1">
      <c r="A28" s="1"/>
      <c r="B28" s="42"/>
      <c r="C28" s="42"/>
      <c r="D28" s="80"/>
      <c r="E28" s="42"/>
      <c r="F28" s="42"/>
      <c r="G28" s="1"/>
      <c r="H28" s="1"/>
      <c r="I28" s="1"/>
      <c r="J28" s="1"/>
      <c r="K28" s="1"/>
      <c r="L28" s="1"/>
      <c r="M28" s="1"/>
      <c r="N28" s="1"/>
      <c r="O28" s="1"/>
      <c r="P28" s="1"/>
      <c r="Q28" s="1"/>
      <c r="R28" s="1"/>
      <c r="S28" s="1"/>
      <c r="T28" s="1"/>
      <c r="U28" s="1"/>
      <c r="V28" s="1"/>
      <c r="W28" s="1"/>
      <c r="X28" s="1"/>
      <c r="Y28" s="1"/>
      <c r="Z28" s="1"/>
    </row>
    <row r="29" ht="15.75" customHeight="1">
      <c r="A29" s="1"/>
      <c r="B29" s="42"/>
      <c r="C29" s="42"/>
      <c r="D29" s="80"/>
      <c r="E29" s="42"/>
      <c r="F29" s="42"/>
      <c r="G29" s="1"/>
      <c r="H29" s="1"/>
      <c r="I29" s="1"/>
      <c r="J29" s="1"/>
      <c r="K29" s="1"/>
      <c r="L29" s="1"/>
      <c r="M29" s="1"/>
      <c r="N29" s="1"/>
      <c r="O29" s="1"/>
      <c r="P29" s="1"/>
      <c r="Q29" s="1"/>
      <c r="R29" s="1"/>
      <c r="S29" s="1"/>
      <c r="T29" s="1"/>
      <c r="U29" s="1"/>
      <c r="V29" s="1"/>
      <c r="W29" s="1"/>
      <c r="X29" s="1"/>
      <c r="Y29" s="1"/>
      <c r="Z29" s="1"/>
    </row>
    <row r="30" ht="15.75" customHeight="1">
      <c r="A30" s="1"/>
      <c r="B30" s="42"/>
      <c r="C30" s="42"/>
      <c r="D30" s="80"/>
      <c r="E30" s="42"/>
      <c r="F30" s="42"/>
      <c r="G30" s="1"/>
      <c r="H30" s="1"/>
      <c r="I30" s="1"/>
      <c r="J30" s="1"/>
      <c r="K30" s="1"/>
      <c r="L30" s="1"/>
      <c r="M30" s="1"/>
      <c r="N30" s="1"/>
      <c r="O30" s="1"/>
      <c r="P30" s="1"/>
      <c r="Q30" s="1"/>
      <c r="R30" s="1"/>
      <c r="S30" s="1"/>
      <c r="T30" s="1"/>
      <c r="U30" s="1"/>
      <c r="V30" s="1"/>
      <c r="W30" s="1"/>
      <c r="X30" s="1"/>
      <c r="Y30" s="1"/>
      <c r="Z30" s="1"/>
    </row>
    <row r="31" ht="15.75" customHeight="1">
      <c r="A31" s="1"/>
      <c r="B31" s="42"/>
      <c r="C31" s="42"/>
      <c r="D31" s="80"/>
      <c r="E31" s="42"/>
      <c r="F31" s="42"/>
      <c r="G31" s="1"/>
      <c r="H31" s="1"/>
      <c r="I31" s="1"/>
      <c r="J31" s="1"/>
      <c r="K31" s="1"/>
      <c r="L31" s="1"/>
      <c r="M31" s="1"/>
      <c r="N31" s="1"/>
      <c r="O31" s="1"/>
      <c r="P31" s="1"/>
      <c r="Q31" s="1"/>
      <c r="R31" s="1"/>
      <c r="S31" s="1"/>
      <c r="T31" s="1"/>
      <c r="U31" s="1"/>
      <c r="V31" s="1"/>
      <c r="W31" s="1"/>
      <c r="X31" s="1"/>
      <c r="Y31" s="1"/>
      <c r="Z31" s="1"/>
    </row>
    <row r="32" ht="15.75" customHeight="1">
      <c r="A32" s="1"/>
      <c r="B32" s="42"/>
      <c r="C32" s="42"/>
      <c r="D32" s="80"/>
      <c r="E32" s="42"/>
      <c r="F32" s="42"/>
      <c r="G32" s="1"/>
      <c r="H32" s="1"/>
      <c r="I32" s="1"/>
      <c r="J32" s="1"/>
      <c r="K32" s="1"/>
      <c r="L32" s="1"/>
      <c r="M32" s="1"/>
      <c r="N32" s="1"/>
      <c r="O32" s="1"/>
      <c r="P32" s="1"/>
      <c r="Q32" s="1"/>
      <c r="R32" s="1"/>
      <c r="S32" s="1"/>
      <c r="T32" s="1"/>
      <c r="U32" s="1"/>
      <c r="V32" s="1"/>
      <c r="W32" s="1"/>
      <c r="X32" s="1"/>
      <c r="Y32" s="1"/>
      <c r="Z32" s="1"/>
    </row>
    <row r="33" ht="15.75" customHeight="1">
      <c r="A33" s="1"/>
      <c r="B33" s="42"/>
      <c r="C33" s="42"/>
      <c r="D33" s="80"/>
      <c r="E33" s="42"/>
      <c r="F33" s="42"/>
      <c r="G33" s="1"/>
      <c r="H33" s="1"/>
      <c r="I33" s="1"/>
      <c r="J33" s="1"/>
      <c r="K33" s="1"/>
      <c r="L33" s="1"/>
      <c r="M33" s="1"/>
      <c r="N33" s="1"/>
      <c r="O33" s="1"/>
      <c r="P33" s="1"/>
      <c r="Q33" s="1"/>
      <c r="R33" s="1"/>
      <c r="S33" s="1"/>
      <c r="T33" s="1"/>
      <c r="U33" s="1"/>
      <c r="V33" s="1"/>
      <c r="W33" s="1"/>
      <c r="X33" s="1"/>
      <c r="Y33" s="1"/>
      <c r="Z33" s="1"/>
    </row>
    <row r="34" ht="15.75" customHeight="1">
      <c r="A34" s="1"/>
      <c r="B34" s="42"/>
      <c r="C34" s="42"/>
      <c r="D34" s="80"/>
      <c r="E34" s="42"/>
      <c r="F34" s="42"/>
      <c r="G34" s="1"/>
      <c r="H34" s="1"/>
      <c r="I34" s="1"/>
      <c r="J34" s="1"/>
      <c r="K34" s="1"/>
      <c r="L34" s="1"/>
      <c r="M34" s="1"/>
      <c r="N34" s="1"/>
      <c r="O34" s="1"/>
      <c r="P34" s="1"/>
      <c r="Q34" s="1"/>
      <c r="R34" s="1"/>
      <c r="S34" s="1"/>
      <c r="T34" s="1"/>
      <c r="U34" s="1"/>
      <c r="V34" s="1"/>
      <c r="W34" s="1"/>
      <c r="X34" s="1"/>
      <c r="Y34" s="1"/>
      <c r="Z34" s="1"/>
    </row>
    <row r="35" ht="15.75" customHeight="1">
      <c r="A35" s="1"/>
      <c r="B35" s="42"/>
      <c r="C35" s="42"/>
      <c r="D35" s="80"/>
      <c r="E35" s="42"/>
      <c r="F35" s="42"/>
      <c r="G35" s="1"/>
      <c r="H35" s="1"/>
      <c r="I35" s="1"/>
      <c r="J35" s="1"/>
      <c r="K35" s="1"/>
      <c r="L35" s="1"/>
      <c r="M35" s="1"/>
      <c r="N35" s="1"/>
      <c r="O35" s="1"/>
      <c r="P35" s="1"/>
      <c r="Q35" s="1"/>
      <c r="R35" s="1"/>
      <c r="S35" s="1"/>
      <c r="T35" s="1"/>
      <c r="U35" s="1"/>
      <c r="V35" s="1"/>
      <c r="W35" s="1"/>
      <c r="X35" s="1"/>
      <c r="Y35" s="1"/>
      <c r="Z35" s="1"/>
    </row>
    <row r="36" ht="15.75" customHeight="1">
      <c r="A36" s="1"/>
      <c r="B36" s="42"/>
      <c r="C36" s="42"/>
      <c r="D36" s="80"/>
      <c r="E36" s="42"/>
      <c r="F36" s="42"/>
      <c r="G36" s="1"/>
      <c r="H36" s="1"/>
      <c r="I36" s="1"/>
      <c r="J36" s="1"/>
      <c r="K36" s="1"/>
      <c r="L36" s="1"/>
      <c r="M36" s="1"/>
      <c r="N36" s="1"/>
      <c r="O36" s="1"/>
      <c r="P36" s="1"/>
      <c r="Q36" s="1"/>
      <c r="R36" s="1"/>
      <c r="S36" s="1"/>
      <c r="T36" s="1"/>
      <c r="U36" s="1"/>
      <c r="V36" s="1"/>
      <c r="W36" s="1"/>
      <c r="X36" s="1"/>
      <c r="Y36" s="1"/>
      <c r="Z36" s="1"/>
    </row>
    <row r="37" ht="15.75" customHeight="1">
      <c r="A37" s="1"/>
      <c r="B37" s="42"/>
      <c r="C37" s="42"/>
      <c r="D37" s="80"/>
      <c r="E37" s="42"/>
      <c r="F37" s="42"/>
      <c r="G37" s="1"/>
      <c r="H37" s="1"/>
      <c r="I37" s="1"/>
      <c r="J37" s="1"/>
      <c r="K37" s="1"/>
      <c r="L37" s="1"/>
      <c r="M37" s="1"/>
      <c r="N37" s="1"/>
      <c r="O37" s="1"/>
      <c r="P37" s="1"/>
      <c r="Q37" s="1"/>
      <c r="R37" s="1"/>
      <c r="S37" s="1"/>
      <c r="T37" s="1"/>
      <c r="U37" s="1"/>
      <c r="V37" s="1"/>
      <c r="W37" s="1"/>
      <c r="X37" s="1"/>
      <c r="Y37" s="1"/>
      <c r="Z37" s="1"/>
    </row>
    <row r="38" ht="15.75" customHeight="1">
      <c r="A38" s="1"/>
      <c r="B38" s="42"/>
      <c r="C38" s="42"/>
      <c r="D38" s="80"/>
      <c r="E38" s="42"/>
      <c r="F38" s="42"/>
      <c r="G38" s="1"/>
      <c r="H38" s="1"/>
      <c r="I38" s="1"/>
      <c r="J38" s="1"/>
      <c r="K38" s="1"/>
      <c r="L38" s="1"/>
      <c r="M38" s="1"/>
      <c r="N38" s="1"/>
      <c r="O38" s="1"/>
      <c r="P38" s="1"/>
      <c r="Q38" s="1"/>
      <c r="R38" s="1"/>
      <c r="S38" s="1"/>
      <c r="T38" s="1"/>
      <c r="U38" s="1"/>
      <c r="V38" s="1"/>
      <c r="W38" s="1"/>
      <c r="X38" s="1"/>
      <c r="Y38" s="1"/>
      <c r="Z38" s="1"/>
    </row>
    <row r="39" ht="15.75" customHeight="1">
      <c r="A39" s="1"/>
      <c r="B39" s="42"/>
      <c r="C39" s="42"/>
      <c r="D39" s="80"/>
      <c r="E39" s="42"/>
      <c r="F39" s="42"/>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57" t="s">
        <v>128</v>
      </c>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1" t="s">
        <v>129</v>
      </c>
      <c r="C42" s="11" t="s">
        <v>130</v>
      </c>
      <c r="D42" s="11" t="s">
        <v>23</v>
      </c>
      <c r="E42" s="11" t="s">
        <v>131</v>
      </c>
      <c r="F42" s="11" t="s">
        <v>132</v>
      </c>
      <c r="G42" s="11" t="s">
        <v>133</v>
      </c>
      <c r="H42" s="11" t="s">
        <v>134</v>
      </c>
      <c r="I42" s="1"/>
      <c r="J42" s="1"/>
      <c r="K42" s="1"/>
      <c r="L42" s="1"/>
      <c r="M42" s="1"/>
      <c r="N42" s="1"/>
      <c r="O42" s="1"/>
      <c r="P42" s="1"/>
      <c r="Q42" s="1"/>
      <c r="R42" s="1"/>
      <c r="S42" s="1"/>
      <c r="T42" s="1"/>
      <c r="U42" s="1"/>
      <c r="V42" s="1"/>
      <c r="W42" s="1"/>
      <c r="X42" s="1"/>
      <c r="Y42" s="1"/>
      <c r="Z42" s="1"/>
    </row>
    <row r="43" ht="15.75" customHeight="1">
      <c r="A43" s="1"/>
      <c r="B43" s="88" t="s">
        <v>135</v>
      </c>
      <c r="C43" s="89" t="s">
        <v>136</v>
      </c>
      <c r="D43" s="89" t="s">
        <v>63</v>
      </c>
      <c r="E43" s="90">
        <v>12.0</v>
      </c>
      <c r="F43" s="90">
        <v>12.0</v>
      </c>
      <c r="G43" s="89" t="s">
        <v>87</v>
      </c>
      <c r="H43" s="89" t="s">
        <v>90</v>
      </c>
      <c r="I43" s="1"/>
      <c r="J43" s="1"/>
      <c r="K43" s="1"/>
      <c r="L43" s="1"/>
      <c r="M43" s="1"/>
      <c r="N43" s="1"/>
      <c r="O43" s="1"/>
      <c r="P43" s="1"/>
      <c r="Q43" s="1"/>
      <c r="R43" s="1"/>
      <c r="S43" s="1"/>
      <c r="T43" s="1"/>
      <c r="U43" s="1"/>
      <c r="V43" s="1"/>
      <c r="W43" s="1"/>
      <c r="X43" s="1"/>
      <c r="Y43" s="1"/>
      <c r="Z43" s="1"/>
    </row>
    <row r="44" ht="15.75" customHeight="1">
      <c r="A44" s="1"/>
      <c r="B44" s="91" t="s">
        <v>135</v>
      </c>
      <c r="C44" s="92" t="s">
        <v>137</v>
      </c>
      <c r="D44" s="89" t="s">
        <v>63</v>
      </c>
      <c r="E44" s="93">
        <v>100.0</v>
      </c>
      <c r="F44" s="93">
        <v>100.0</v>
      </c>
      <c r="G44" s="92" t="s">
        <v>92</v>
      </c>
      <c r="H44" s="92" t="s">
        <v>86</v>
      </c>
      <c r="I44" s="1"/>
      <c r="J44" s="1"/>
      <c r="K44" s="1"/>
      <c r="L44" s="1"/>
      <c r="M44" s="1"/>
      <c r="N44" s="1"/>
      <c r="O44" s="1"/>
      <c r="P44" s="1"/>
      <c r="Q44" s="1"/>
      <c r="R44" s="1"/>
      <c r="S44" s="1"/>
      <c r="T44" s="1"/>
      <c r="U44" s="1"/>
      <c r="V44" s="1"/>
      <c r="W44" s="1"/>
      <c r="X44" s="1"/>
      <c r="Y44" s="1"/>
      <c r="Z44" s="1"/>
    </row>
    <row r="45" ht="15.75" customHeight="1">
      <c r="A45" s="1"/>
      <c r="B45" s="91" t="s">
        <v>135</v>
      </c>
      <c r="C45" s="92" t="s">
        <v>138</v>
      </c>
      <c r="D45" s="89" t="s">
        <v>63</v>
      </c>
      <c r="E45" s="93">
        <v>0.0</v>
      </c>
      <c r="F45" s="93">
        <v>12.0</v>
      </c>
      <c r="G45" s="92" t="s">
        <v>87</v>
      </c>
      <c r="H45" s="92" t="s">
        <v>90</v>
      </c>
      <c r="I45" s="1"/>
      <c r="J45" s="1"/>
      <c r="K45" s="1"/>
      <c r="L45" s="1"/>
      <c r="M45" s="1"/>
      <c r="N45" s="1"/>
      <c r="O45" s="1"/>
      <c r="P45" s="1"/>
      <c r="Q45" s="1"/>
      <c r="R45" s="1"/>
      <c r="S45" s="1"/>
      <c r="T45" s="1"/>
      <c r="U45" s="1"/>
      <c r="V45" s="1"/>
      <c r="W45" s="1"/>
      <c r="X45" s="1"/>
      <c r="Y45" s="1"/>
      <c r="Z45" s="1"/>
    </row>
    <row r="46" ht="15.75" customHeight="1">
      <c r="A46" s="1"/>
      <c r="B46" s="91" t="s">
        <v>135</v>
      </c>
      <c r="C46" s="91"/>
      <c r="D46" s="91"/>
      <c r="E46" s="94"/>
      <c r="F46" s="94"/>
      <c r="G46" s="91"/>
      <c r="H46" s="91"/>
      <c r="I46" s="1"/>
      <c r="J46" s="1"/>
      <c r="K46" s="1"/>
      <c r="L46" s="1"/>
      <c r="M46" s="1"/>
      <c r="N46" s="1"/>
      <c r="O46" s="1"/>
      <c r="P46" s="1"/>
      <c r="Q46" s="1"/>
      <c r="R46" s="1"/>
      <c r="S46" s="1"/>
      <c r="T46" s="1"/>
      <c r="U46" s="1"/>
      <c r="V46" s="1"/>
      <c r="W46" s="1"/>
      <c r="X46" s="1"/>
      <c r="Y46" s="1"/>
      <c r="Z46" s="1"/>
    </row>
    <row r="47" ht="15.75" customHeight="1">
      <c r="A47" s="1"/>
      <c r="B47" s="91" t="s">
        <v>135</v>
      </c>
      <c r="C47" s="91"/>
      <c r="D47" s="91"/>
      <c r="E47" s="94"/>
      <c r="F47" s="94"/>
      <c r="G47" s="91"/>
      <c r="H47" s="91"/>
      <c r="I47" s="1"/>
      <c r="J47" s="1"/>
      <c r="K47" s="1"/>
      <c r="L47" s="1"/>
      <c r="M47" s="1"/>
      <c r="N47" s="1"/>
      <c r="O47" s="1"/>
      <c r="P47" s="1"/>
      <c r="Q47" s="1"/>
      <c r="R47" s="1"/>
      <c r="S47" s="1"/>
      <c r="T47" s="1"/>
      <c r="U47" s="1"/>
      <c r="V47" s="1"/>
      <c r="W47" s="1"/>
      <c r="X47" s="1"/>
      <c r="Y47" s="1"/>
      <c r="Z47" s="1"/>
    </row>
    <row r="48" ht="15.75" customHeight="1">
      <c r="A48" s="1"/>
      <c r="B48" s="91" t="s">
        <v>135</v>
      </c>
      <c r="C48" s="91"/>
      <c r="D48" s="91"/>
      <c r="E48" s="94"/>
      <c r="F48" s="94"/>
      <c r="G48" s="91"/>
      <c r="H48" s="91"/>
      <c r="I48" s="1"/>
      <c r="J48" s="1"/>
      <c r="K48" s="1"/>
      <c r="L48" s="1"/>
      <c r="M48" s="1"/>
      <c r="N48" s="1"/>
      <c r="O48" s="1"/>
      <c r="P48" s="1"/>
      <c r="Q48" s="1"/>
      <c r="R48" s="1"/>
      <c r="S48" s="1"/>
      <c r="T48" s="1"/>
      <c r="U48" s="1"/>
      <c r="V48" s="1"/>
      <c r="W48" s="1"/>
      <c r="X48" s="1"/>
      <c r="Y48" s="1"/>
      <c r="Z48" s="1"/>
    </row>
    <row r="49" ht="15.75" customHeight="1">
      <c r="A49" s="1"/>
      <c r="B49" s="91" t="s">
        <v>135</v>
      </c>
      <c r="C49" s="91"/>
      <c r="D49" s="91"/>
      <c r="E49" s="94"/>
      <c r="F49" s="94"/>
      <c r="G49" s="91"/>
      <c r="H49" s="91"/>
      <c r="I49" s="1"/>
      <c r="J49" s="1"/>
      <c r="K49" s="1"/>
      <c r="L49" s="1"/>
      <c r="M49" s="1"/>
      <c r="N49" s="1"/>
      <c r="O49" s="1"/>
      <c r="P49" s="1"/>
      <c r="Q49" s="1"/>
      <c r="R49" s="1"/>
      <c r="S49" s="1"/>
      <c r="T49" s="1"/>
      <c r="U49" s="1"/>
      <c r="V49" s="1"/>
      <c r="W49" s="1"/>
      <c r="X49" s="1"/>
      <c r="Y49" s="1"/>
      <c r="Z49" s="1"/>
    </row>
    <row r="50" ht="15.75" customHeight="1">
      <c r="A50" s="1"/>
      <c r="B50" s="91" t="s">
        <v>135</v>
      </c>
      <c r="C50" s="91"/>
      <c r="D50" s="91"/>
      <c r="E50" s="94"/>
      <c r="F50" s="94"/>
      <c r="G50" s="91"/>
      <c r="H50" s="91"/>
      <c r="I50" s="1"/>
      <c r="J50" s="1"/>
      <c r="K50" s="1"/>
      <c r="L50" s="1"/>
      <c r="M50" s="1"/>
      <c r="N50" s="1"/>
      <c r="O50" s="1"/>
      <c r="P50" s="1"/>
      <c r="Q50" s="1"/>
      <c r="R50" s="1"/>
      <c r="S50" s="1"/>
      <c r="T50" s="1"/>
      <c r="U50" s="1"/>
      <c r="V50" s="1"/>
      <c r="W50" s="1"/>
      <c r="X50" s="1"/>
      <c r="Y50" s="1"/>
      <c r="Z50" s="1"/>
    </row>
    <row r="51" ht="15.75" customHeight="1">
      <c r="A51" s="1"/>
      <c r="B51" s="91" t="s">
        <v>135</v>
      </c>
      <c r="C51" s="91"/>
      <c r="D51" s="91"/>
      <c r="E51" s="94"/>
      <c r="F51" s="94"/>
      <c r="G51" s="91"/>
      <c r="H51" s="91"/>
      <c r="I51" s="1"/>
      <c r="J51" s="1"/>
      <c r="K51" s="1"/>
      <c r="L51" s="1"/>
      <c r="M51" s="1"/>
      <c r="N51" s="1"/>
      <c r="O51" s="1"/>
      <c r="P51" s="1"/>
      <c r="Q51" s="1"/>
      <c r="R51" s="1"/>
      <c r="S51" s="1"/>
      <c r="T51" s="1"/>
      <c r="U51" s="1"/>
      <c r="V51" s="1"/>
      <c r="W51" s="1"/>
      <c r="X51" s="1"/>
      <c r="Y51" s="1"/>
      <c r="Z51" s="1"/>
    </row>
    <row r="52" ht="15.75" customHeight="1">
      <c r="A52" s="1"/>
      <c r="B52" s="91" t="s">
        <v>135</v>
      </c>
      <c r="C52" s="91"/>
      <c r="D52" s="91"/>
      <c r="E52" s="94"/>
      <c r="F52" s="94"/>
      <c r="G52" s="91"/>
      <c r="H52" s="91"/>
      <c r="I52" s="1"/>
      <c r="J52" s="1"/>
      <c r="K52" s="1"/>
      <c r="L52" s="1"/>
      <c r="M52" s="1"/>
      <c r="N52" s="1"/>
      <c r="O52" s="1"/>
      <c r="P52" s="1"/>
      <c r="Q52" s="1"/>
      <c r="R52" s="1"/>
      <c r="S52" s="1"/>
      <c r="T52" s="1"/>
      <c r="U52" s="1"/>
      <c r="V52" s="1"/>
      <c r="W52" s="1"/>
      <c r="X52" s="1"/>
      <c r="Y52" s="1"/>
      <c r="Z52" s="1"/>
    </row>
    <row r="53" ht="27.75" customHeight="1">
      <c r="A53" s="1"/>
      <c r="B53" s="91" t="s">
        <v>135</v>
      </c>
      <c r="C53" s="91"/>
      <c r="D53" s="91"/>
      <c r="E53" s="94"/>
      <c r="F53" s="94"/>
      <c r="G53" s="91"/>
      <c r="H53" s="91"/>
      <c r="I53" s="1"/>
      <c r="J53" s="1"/>
      <c r="K53" s="1"/>
      <c r="L53" s="1"/>
      <c r="M53" s="1"/>
      <c r="N53" s="1"/>
      <c r="O53" s="1"/>
      <c r="P53" s="1"/>
      <c r="Q53" s="1"/>
      <c r="R53" s="1"/>
      <c r="S53" s="1"/>
      <c r="T53" s="1"/>
      <c r="U53" s="1"/>
      <c r="V53" s="1"/>
      <c r="W53" s="1"/>
      <c r="X53" s="1"/>
      <c r="Y53" s="1"/>
      <c r="Z53" s="1"/>
    </row>
    <row r="54" ht="24.75" customHeight="1">
      <c r="A54" s="1"/>
      <c r="B54" s="91" t="s">
        <v>135</v>
      </c>
      <c r="C54" s="91"/>
      <c r="D54" s="91"/>
      <c r="E54" s="94"/>
      <c r="F54" s="94"/>
      <c r="G54" s="91"/>
      <c r="H54" s="91"/>
      <c r="I54" s="1"/>
      <c r="J54" s="1"/>
      <c r="K54" s="1"/>
      <c r="L54" s="1"/>
      <c r="M54" s="1"/>
      <c r="N54" s="1"/>
      <c r="O54" s="1"/>
      <c r="P54" s="1"/>
      <c r="Q54" s="1"/>
      <c r="R54" s="1"/>
      <c r="S54" s="1"/>
      <c r="T54" s="1"/>
      <c r="U54" s="1"/>
      <c r="V54" s="1"/>
      <c r="W54" s="1"/>
      <c r="X54" s="1"/>
      <c r="Y54" s="1"/>
      <c r="Z54" s="1"/>
    </row>
    <row r="55" ht="15.75" customHeight="1">
      <c r="A55" s="1"/>
      <c r="B55" s="91" t="s">
        <v>135</v>
      </c>
      <c r="C55" s="91"/>
      <c r="D55" s="91"/>
      <c r="E55" s="94"/>
      <c r="F55" s="94"/>
      <c r="G55" s="91"/>
      <c r="H55" s="91"/>
      <c r="I55" s="1"/>
      <c r="J55" s="1"/>
      <c r="K55" s="1"/>
      <c r="L55" s="1"/>
      <c r="M55" s="1"/>
      <c r="N55" s="1"/>
      <c r="O55" s="1"/>
      <c r="P55" s="1"/>
      <c r="Q55" s="1"/>
      <c r="R55" s="1"/>
      <c r="S55" s="1"/>
      <c r="T55" s="1"/>
      <c r="U55" s="1"/>
      <c r="V55" s="1"/>
      <c r="W55" s="1"/>
      <c r="X55" s="1"/>
      <c r="Y55" s="1"/>
      <c r="Z55" s="1"/>
    </row>
    <row r="56" ht="15.75" customHeight="1">
      <c r="A56" s="1"/>
      <c r="B56" s="91" t="s">
        <v>135</v>
      </c>
      <c r="C56" s="91"/>
      <c r="D56" s="91"/>
      <c r="E56" s="94"/>
      <c r="F56" s="94"/>
      <c r="G56" s="91"/>
      <c r="H56" s="91"/>
      <c r="I56" s="1"/>
      <c r="J56" s="1"/>
      <c r="K56" s="1"/>
      <c r="L56" s="1"/>
      <c r="M56" s="1"/>
      <c r="N56" s="1"/>
      <c r="O56" s="1"/>
      <c r="P56" s="1"/>
      <c r="Q56" s="1"/>
      <c r="R56" s="1"/>
      <c r="S56" s="1"/>
      <c r="T56" s="1"/>
      <c r="U56" s="1"/>
      <c r="V56" s="1"/>
      <c r="W56" s="1"/>
      <c r="X56" s="1"/>
      <c r="Y56" s="1"/>
      <c r="Z56" s="1"/>
    </row>
    <row r="57" ht="15.75" customHeight="1">
      <c r="A57" s="1"/>
      <c r="B57" s="91" t="s">
        <v>135</v>
      </c>
      <c r="C57" s="91"/>
      <c r="D57" s="91"/>
      <c r="E57" s="94"/>
      <c r="F57" s="94"/>
      <c r="G57" s="91"/>
      <c r="H57" s="91"/>
      <c r="I57" s="1"/>
      <c r="J57" s="1"/>
      <c r="K57" s="1"/>
      <c r="L57" s="1"/>
      <c r="M57" s="1"/>
      <c r="N57" s="1"/>
      <c r="O57" s="1"/>
      <c r="P57" s="1"/>
      <c r="Q57" s="1"/>
      <c r="R57" s="1"/>
      <c r="S57" s="1"/>
      <c r="T57" s="1"/>
      <c r="U57" s="1"/>
      <c r="V57" s="1"/>
      <c r="W57" s="1"/>
      <c r="X57" s="1"/>
      <c r="Y57" s="1"/>
      <c r="Z57" s="1"/>
    </row>
    <row r="58" ht="15.75" customHeight="1">
      <c r="A58" s="1"/>
      <c r="B58" s="91" t="s">
        <v>135</v>
      </c>
      <c r="C58" s="91"/>
      <c r="D58" s="91"/>
      <c r="E58" s="94"/>
      <c r="F58" s="94"/>
      <c r="G58" s="91"/>
      <c r="H58" s="91"/>
      <c r="I58" s="1"/>
      <c r="J58" s="1"/>
      <c r="K58" s="1"/>
      <c r="L58" s="1"/>
      <c r="M58" s="1"/>
      <c r="N58" s="1"/>
      <c r="O58" s="1"/>
      <c r="P58" s="1"/>
      <c r="Q58" s="1"/>
      <c r="R58" s="1"/>
      <c r="S58" s="1"/>
      <c r="T58" s="1"/>
      <c r="U58" s="1"/>
      <c r="V58" s="1"/>
      <c r="W58" s="1"/>
      <c r="X58" s="1"/>
      <c r="Y58" s="1"/>
      <c r="Z58" s="1"/>
    </row>
    <row r="59" ht="15.75" customHeight="1">
      <c r="A59" s="1"/>
      <c r="B59" s="91" t="s">
        <v>135</v>
      </c>
      <c r="C59" s="91"/>
      <c r="D59" s="91"/>
      <c r="E59" s="94"/>
      <c r="F59" s="94"/>
      <c r="G59" s="91"/>
      <c r="H59" s="91"/>
      <c r="I59" s="1"/>
      <c r="J59" s="1"/>
      <c r="K59" s="1"/>
      <c r="L59" s="1"/>
      <c r="M59" s="1"/>
      <c r="N59" s="1"/>
      <c r="O59" s="1"/>
      <c r="P59" s="1"/>
      <c r="Q59" s="1"/>
      <c r="R59" s="1"/>
      <c r="S59" s="1"/>
      <c r="T59" s="1"/>
      <c r="U59" s="1"/>
      <c r="V59" s="1"/>
      <c r="W59" s="1"/>
      <c r="X59" s="1"/>
      <c r="Y59" s="1"/>
      <c r="Z59" s="1"/>
    </row>
    <row r="60" ht="15.75" customHeight="1">
      <c r="A60" s="1"/>
      <c r="B60" s="91" t="s">
        <v>135</v>
      </c>
      <c r="C60" s="91"/>
      <c r="D60" s="91"/>
      <c r="E60" s="94"/>
      <c r="F60" s="94"/>
      <c r="G60" s="91"/>
      <c r="H60" s="91"/>
      <c r="I60" s="1"/>
      <c r="J60" s="1"/>
      <c r="K60" s="1"/>
      <c r="L60" s="1"/>
      <c r="M60" s="1"/>
      <c r="N60" s="1"/>
      <c r="O60" s="1"/>
      <c r="P60" s="1"/>
      <c r="Q60" s="1"/>
      <c r="R60" s="1"/>
      <c r="S60" s="1"/>
      <c r="T60" s="1"/>
      <c r="U60" s="1"/>
      <c r="V60" s="1"/>
      <c r="W60" s="1"/>
      <c r="X60" s="1"/>
      <c r="Y60" s="1"/>
      <c r="Z60" s="1"/>
    </row>
    <row r="61" ht="15.75" customHeight="1">
      <c r="A61" s="1"/>
      <c r="B61" s="91" t="s">
        <v>135</v>
      </c>
      <c r="C61" s="91"/>
      <c r="D61" s="91"/>
      <c r="E61" s="94"/>
      <c r="F61" s="94"/>
      <c r="G61" s="91"/>
      <c r="H61" s="91"/>
      <c r="I61" s="1"/>
      <c r="J61" s="1"/>
      <c r="K61" s="1"/>
      <c r="L61" s="1"/>
      <c r="M61" s="1"/>
      <c r="N61" s="1"/>
      <c r="O61" s="1"/>
      <c r="P61" s="1"/>
      <c r="Q61" s="1"/>
      <c r="R61" s="1"/>
      <c r="S61" s="1"/>
      <c r="T61" s="1"/>
      <c r="U61" s="1"/>
      <c r="V61" s="1"/>
      <c r="W61" s="1"/>
      <c r="X61" s="1"/>
      <c r="Y61" s="1"/>
      <c r="Z61" s="1"/>
    </row>
    <row r="62" ht="15.75" customHeight="1">
      <c r="A62" s="1"/>
      <c r="B62" s="91" t="s">
        <v>135</v>
      </c>
      <c r="C62" s="91"/>
      <c r="D62" s="91"/>
      <c r="E62" s="94"/>
      <c r="F62" s="94"/>
      <c r="G62" s="91"/>
      <c r="H62" s="91"/>
      <c r="I62" s="1"/>
      <c r="J62" s="1"/>
      <c r="K62" s="1"/>
      <c r="L62" s="1"/>
      <c r="M62" s="1"/>
      <c r="N62" s="1"/>
      <c r="O62" s="1"/>
      <c r="P62" s="1"/>
      <c r="Q62" s="1"/>
      <c r="R62" s="1"/>
      <c r="S62" s="1"/>
      <c r="T62" s="1"/>
      <c r="U62" s="1"/>
      <c r="V62" s="1"/>
      <c r="W62" s="1"/>
      <c r="X62" s="1"/>
      <c r="Y62" s="1"/>
      <c r="Z62" s="1"/>
    </row>
    <row r="63" ht="15.75" customHeight="1">
      <c r="A63" s="1"/>
      <c r="B63" s="91" t="s">
        <v>135</v>
      </c>
      <c r="C63" s="91"/>
      <c r="D63" s="91"/>
      <c r="E63" s="94"/>
      <c r="F63" s="94"/>
      <c r="G63" s="91"/>
      <c r="H63" s="91"/>
      <c r="I63" s="1"/>
      <c r="J63" s="1"/>
      <c r="K63" s="1"/>
      <c r="L63" s="1"/>
      <c r="M63" s="1"/>
      <c r="N63" s="1"/>
      <c r="O63" s="1"/>
      <c r="P63" s="1"/>
      <c r="Q63" s="1"/>
      <c r="R63" s="1"/>
      <c r="S63" s="1"/>
      <c r="T63" s="1"/>
      <c r="U63" s="1"/>
      <c r="V63" s="1"/>
      <c r="W63" s="1"/>
      <c r="X63" s="1"/>
      <c r="Y63" s="1"/>
      <c r="Z63" s="1"/>
    </row>
    <row r="64" ht="15.75" customHeight="1">
      <c r="A64" s="1"/>
      <c r="B64" s="91" t="s">
        <v>135</v>
      </c>
      <c r="C64" s="91"/>
      <c r="D64" s="91"/>
      <c r="E64" s="94"/>
      <c r="F64" s="94"/>
      <c r="G64" s="91"/>
      <c r="H64" s="91"/>
      <c r="I64" s="1"/>
      <c r="J64" s="1"/>
      <c r="K64" s="1"/>
      <c r="L64" s="1"/>
      <c r="M64" s="1"/>
      <c r="N64" s="1"/>
      <c r="O64" s="1"/>
      <c r="P64" s="1"/>
      <c r="Q64" s="1"/>
      <c r="R64" s="1"/>
      <c r="S64" s="1"/>
      <c r="T64" s="1"/>
      <c r="U64" s="1"/>
      <c r="V64" s="1"/>
      <c r="W64" s="1"/>
      <c r="X64" s="1"/>
      <c r="Y64" s="1"/>
      <c r="Z64" s="1"/>
    </row>
    <row r="65" ht="15.75" customHeight="1">
      <c r="A65" s="1"/>
      <c r="B65" s="91" t="s">
        <v>135</v>
      </c>
      <c r="C65" s="91"/>
      <c r="D65" s="91"/>
      <c r="E65" s="94"/>
      <c r="F65" s="94"/>
      <c r="G65" s="91"/>
      <c r="H65" s="91"/>
      <c r="I65" s="1"/>
      <c r="J65" s="1"/>
      <c r="K65" s="1"/>
      <c r="L65" s="1"/>
      <c r="M65" s="1"/>
      <c r="N65" s="1"/>
      <c r="O65" s="1"/>
      <c r="P65" s="1"/>
      <c r="Q65" s="1"/>
      <c r="R65" s="1"/>
      <c r="S65" s="1"/>
      <c r="T65" s="1"/>
      <c r="U65" s="1"/>
      <c r="V65" s="1"/>
      <c r="W65" s="1"/>
      <c r="X65" s="1"/>
      <c r="Y65" s="1"/>
      <c r="Z65" s="1"/>
    </row>
    <row r="66" ht="15.75" customHeight="1">
      <c r="A66" s="1"/>
      <c r="B66" s="91" t="s">
        <v>135</v>
      </c>
      <c r="C66" s="91"/>
      <c r="D66" s="91"/>
      <c r="E66" s="94"/>
      <c r="F66" s="94"/>
      <c r="G66" s="91"/>
      <c r="H66" s="91"/>
      <c r="I66" s="1"/>
      <c r="J66" s="1"/>
      <c r="K66" s="1"/>
      <c r="L66" s="1"/>
      <c r="M66" s="1"/>
      <c r="N66" s="1"/>
      <c r="O66" s="1"/>
      <c r="P66" s="1"/>
      <c r="Q66" s="1"/>
      <c r="R66" s="1"/>
      <c r="S66" s="1"/>
      <c r="T66" s="1"/>
      <c r="U66" s="1"/>
      <c r="V66" s="1"/>
      <c r="W66" s="1"/>
      <c r="X66" s="1"/>
      <c r="Y66" s="1"/>
      <c r="Z66" s="1"/>
    </row>
    <row r="67" ht="15.75" customHeight="1">
      <c r="A67" s="1"/>
      <c r="B67" s="91" t="s">
        <v>135</v>
      </c>
      <c r="C67" s="91"/>
      <c r="D67" s="91"/>
      <c r="E67" s="94"/>
      <c r="F67" s="94"/>
      <c r="G67" s="91"/>
      <c r="H67" s="9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04" t="s">
        <v>147</v>
      </c>
      <c r="C69" s="105"/>
      <c r="D69" s="105"/>
      <c r="E69" s="105"/>
      <c r="F69" s="105"/>
      <c r="G69" s="105"/>
      <c r="H69" s="106"/>
      <c r="I69" s="1"/>
      <c r="J69" s="1"/>
      <c r="K69" s="1"/>
      <c r="L69" s="1"/>
      <c r="M69" s="1"/>
      <c r="N69" s="1"/>
      <c r="O69" s="1"/>
      <c r="P69" s="1"/>
      <c r="Q69" s="1"/>
      <c r="R69" s="1"/>
      <c r="S69" s="1"/>
      <c r="T69" s="1"/>
      <c r="U69" s="1"/>
      <c r="V69" s="1"/>
      <c r="W69" s="1"/>
      <c r="X69" s="1"/>
      <c r="Y69" s="1"/>
      <c r="Z69" s="1"/>
    </row>
    <row r="70" ht="15.75" customHeight="1">
      <c r="A70" s="1"/>
      <c r="B70" s="107"/>
      <c r="C70" s="107"/>
      <c r="D70" s="107"/>
      <c r="E70" s="107"/>
      <c r="F70" s="107"/>
      <c r="G70" s="107"/>
      <c r="H70" s="107"/>
      <c r="I70" s="1"/>
      <c r="J70" s="1"/>
      <c r="K70" s="1"/>
      <c r="L70" s="1"/>
      <c r="M70" s="1"/>
      <c r="N70" s="1"/>
      <c r="O70" s="1"/>
      <c r="P70" s="1"/>
      <c r="Q70" s="1"/>
      <c r="R70" s="1"/>
      <c r="S70" s="1"/>
      <c r="T70" s="1"/>
      <c r="U70" s="1"/>
      <c r="V70" s="1"/>
      <c r="W70" s="1"/>
      <c r="X70" s="1"/>
      <c r="Y70" s="1"/>
      <c r="Z70" s="1"/>
    </row>
    <row r="71" ht="15.75" customHeight="1">
      <c r="A71" s="1"/>
      <c r="B71" s="104" t="s">
        <v>150</v>
      </c>
      <c r="C71" s="105"/>
      <c r="D71" s="105"/>
      <c r="E71" s="105"/>
      <c r="F71" s="105"/>
      <c r="G71" s="105"/>
      <c r="H71" s="106"/>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1:I1"/>
    <mergeCell ref="T1:U1"/>
    <mergeCell ref="W1:X1"/>
    <mergeCell ref="U2:V2"/>
    <mergeCell ref="H4:I4"/>
    <mergeCell ref="B69:H69"/>
    <mergeCell ref="B71:H71"/>
  </mergeCells>
  <conditionalFormatting sqref="B5:F39">
    <cfRule type="expression" dxfId="4" priority="1">
      <formula>$B5="Income"</formula>
    </cfRule>
  </conditionalFormatting>
  <conditionalFormatting sqref="B5:F39">
    <cfRule type="expression" dxfId="5" priority="2">
      <formula>$B5="Expense"</formula>
    </cfRule>
  </conditionalFormatting>
  <conditionalFormatting sqref="B5:F39">
    <cfRule type="expression" dxfId="6" priority="3">
      <formula>$B5="Taxes"</formula>
    </cfRule>
  </conditionalFormatting>
  <conditionalFormatting sqref="B5:F39">
    <cfRule type="expression" dxfId="7" priority="4">
      <formula>$B5="Investing"</formula>
    </cfRule>
  </conditionalFormatting>
  <conditionalFormatting sqref="B43:H67">
    <cfRule type="expression" dxfId="8" priority="5">
      <formula>$C43=""</formula>
    </cfRule>
  </conditionalFormatting>
  <conditionalFormatting sqref="D53">
    <cfRule type="notContainsBlanks" dxfId="1" priority="6">
      <formula>LEN(TRIM(D53))&gt;0</formula>
    </cfRule>
  </conditionalFormatting>
  <conditionalFormatting sqref="I10">
    <cfRule type="cellIs" dxfId="1" priority="7" operator="greaterThanOrEqual">
      <formula>0</formula>
    </cfRule>
  </conditionalFormatting>
  <conditionalFormatting sqref="I10">
    <cfRule type="cellIs" dxfId="2" priority="8" operator="lessThan">
      <formula>0</formula>
    </cfRule>
  </conditionalFormatting>
  <dataValidations>
    <dataValidation type="list" allowBlank="1" sqref="B5:B39">
      <formula1>Lists!$A$1:$A$4</formula1>
    </dataValidation>
    <dataValidation type="list" allowBlank="1" sqref="G43:G67">
      <formula1>Lists!$F$1:$F$2</formula1>
    </dataValidation>
    <dataValidation type="list" allowBlank="1" sqref="H43:H67">
      <formula1>Lists!$D$1:$D$2</formula1>
    </dataValidation>
    <dataValidation type="list" allowBlank="1" sqref="C5:C39">
      <formula1>Lists!$B$1:$B$22</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4818E"/>
    <pageSetUpPr/>
  </sheetPr>
  <sheetViews>
    <sheetView showGridLines="0" workbookViewId="0"/>
  </sheetViews>
  <sheetFormatPr customHeight="1" defaultColWidth="14.43" defaultRowHeight="15.0"/>
  <cols>
    <col customWidth="1" min="1" max="1" width="3.0"/>
    <col customWidth="1" min="2" max="2" width="60.0"/>
    <col customWidth="1" min="3" max="3" width="20.0"/>
    <col customWidth="1" min="4" max="5" width="14.0"/>
    <col customWidth="1" min="6" max="6" width="10.0"/>
    <col customWidth="1" min="7" max="7" width="42.0"/>
    <col customWidth="1" min="8" max="15" width="8.71"/>
  </cols>
  <sheetData>
    <row r="1" ht="19.5" customHeight="1">
      <c r="A1" s="1"/>
      <c r="B1" s="58" t="s">
        <v>84</v>
      </c>
      <c r="H1" s="1"/>
      <c r="I1" s="1"/>
      <c r="J1" s="1"/>
      <c r="K1" s="1"/>
      <c r="L1" s="1"/>
      <c r="M1" s="1"/>
      <c r="N1" s="1"/>
      <c r="O1" s="1"/>
      <c r="P1" s="1"/>
      <c r="Q1" s="1"/>
      <c r="R1" s="1"/>
      <c r="S1" s="1"/>
      <c r="T1" s="1"/>
      <c r="U1" s="1"/>
      <c r="V1" s="1"/>
      <c r="W1" s="1"/>
      <c r="X1" s="1"/>
      <c r="Y1" s="1"/>
      <c r="Z1" s="1"/>
    </row>
    <row r="2" ht="15.0" customHeight="1">
      <c r="A2" s="1"/>
      <c r="B2" s="1"/>
      <c r="C2" s="1"/>
      <c r="D2" s="1"/>
      <c r="E2" s="1"/>
      <c r="F2" s="1"/>
      <c r="G2" s="1"/>
      <c r="H2" s="1"/>
      <c r="I2" s="1"/>
      <c r="J2" s="1"/>
      <c r="K2" s="1"/>
      <c r="L2" s="1"/>
      <c r="M2" s="1"/>
      <c r="N2" s="1"/>
      <c r="O2" s="1"/>
      <c r="P2" s="1"/>
      <c r="Q2" s="1"/>
      <c r="R2" s="1"/>
      <c r="S2" s="1"/>
      <c r="T2" s="1"/>
      <c r="U2" s="1"/>
      <c r="V2" s="1"/>
      <c r="W2" s="1"/>
      <c r="X2" s="1"/>
      <c r="Y2" s="1"/>
      <c r="Z2" s="1"/>
    </row>
    <row r="3" ht="15.0" customHeight="1">
      <c r="A3" s="1"/>
      <c r="B3" s="10" t="s">
        <v>91</v>
      </c>
      <c r="H3" s="1"/>
      <c r="I3" s="1"/>
      <c r="J3" s="1"/>
      <c r="K3" s="1"/>
      <c r="L3" s="1"/>
      <c r="M3" s="1"/>
      <c r="N3" s="1"/>
      <c r="O3" s="1"/>
      <c r="P3" s="1"/>
      <c r="Q3" s="1"/>
      <c r="R3" s="1"/>
      <c r="S3" s="1"/>
      <c r="T3" s="1"/>
      <c r="U3" s="1"/>
      <c r="V3" s="1"/>
      <c r="W3" s="1"/>
      <c r="X3" s="1"/>
      <c r="Y3" s="1"/>
      <c r="Z3" s="1"/>
    </row>
    <row r="4" ht="15.0" customHeight="1">
      <c r="A4" s="1"/>
      <c r="B4" s="64" t="s">
        <v>97</v>
      </c>
      <c r="C4" s="68">
        <f>+'Budget Input'!I5</f>
        <v>7000</v>
      </c>
      <c r="D4" s="69"/>
      <c r="E4" s="1"/>
      <c r="F4" s="1"/>
      <c r="G4" s="1"/>
      <c r="H4" s="1"/>
      <c r="I4" s="1"/>
      <c r="J4" s="1"/>
      <c r="K4" s="1"/>
      <c r="L4" s="1"/>
      <c r="M4" s="1"/>
      <c r="N4" s="1"/>
      <c r="O4" s="1"/>
      <c r="P4" s="1"/>
      <c r="Q4" s="1"/>
      <c r="R4" s="1"/>
      <c r="S4" s="1"/>
      <c r="T4" s="1"/>
      <c r="U4" s="1"/>
      <c r="V4" s="1"/>
      <c r="W4" s="1"/>
      <c r="X4" s="1"/>
      <c r="Y4" s="1"/>
      <c r="Z4" s="1"/>
    </row>
    <row r="5" ht="15.0" customHeight="1">
      <c r="A5" s="1"/>
      <c r="B5" s="64" t="s">
        <v>103</v>
      </c>
      <c r="C5" s="70">
        <f>+'Budget Input'!I6</f>
        <v>3600</v>
      </c>
      <c r="D5" s="69"/>
      <c r="E5" s="1"/>
      <c r="F5" s="1"/>
      <c r="G5" s="1"/>
      <c r="H5" s="1"/>
      <c r="I5" s="1"/>
      <c r="J5" s="61"/>
      <c r="K5" s="61"/>
      <c r="L5" s="1"/>
      <c r="M5" s="1"/>
      <c r="N5" s="1"/>
      <c r="O5" s="1"/>
      <c r="P5" s="1"/>
      <c r="Q5" s="1"/>
      <c r="R5" s="1"/>
      <c r="S5" s="1"/>
      <c r="T5" s="1"/>
      <c r="U5" s="1"/>
      <c r="V5" s="1"/>
      <c r="W5" s="1"/>
      <c r="X5" s="1"/>
      <c r="Y5" s="1"/>
      <c r="Z5" s="1"/>
    </row>
    <row r="6" ht="15.0" customHeight="1">
      <c r="A6" s="1"/>
      <c r="B6" s="64" t="s">
        <v>111</v>
      </c>
      <c r="C6" s="75">
        <f>+'Budget Input'!I10</f>
        <v>79.66666667</v>
      </c>
      <c r="D6" s="69"/>
      <c r="E6" s="1"/>
      <c r="F6" s="1"/>
      <c r="G6" s="1"/>
      <c r="H6" s="1"/>
      <c r="I6" s="1"/>
      <c r="J6" s="1"/>
      <c r="K6" s="1"/>
      <c r="L6" s="1"/>
      <c r="M6" s="1"/>
      <c r="N6" s="1"/>
      <c r="O6" s="1"/>
      <c r="P6" s="1"/>
      <c r="Q6" s="1"/>
      <c r="R6" s="1"/>
      <c r="S6" s="1"/>
      <c r="T6" s="1"/>
      <c r="U6" s="1"/>
      <c r="V6" s="1"/>
      <c r="W6" s="1"/>
      <c r="X6" s="1"/>
      <c r="Y6" s="1"/>
      <c r="Z6" s="1"/>
    </row>
    <row r="7" ht="15.0" customHeight="1">
      <c r="A7" s="1"/>
      <c r="B7" s="64" t="s">
        <v>115</v>
      </c>
      <c r="C7" s="76">
        <f>+'Budget Input'!I11</f>
        <v>0.2285714286</v>
      </c>
      <c r="D7" s="69"/>
      <c r="E7" s="1"/>
      <c r="F7" s="1"/>
      <c r="G7" s="77"/>
      <c r="H7" s="1"/>
      <c r="I7" s="1"/>
      <c r="J7" s="1"/>
      <c r="K7" s="1"/>
      <c r="L7" s="1"/>
      <c r="M7" s="1"/>
      <c r="N7" s="1"/>
      <c r="O7" s="1"/>
      <c r="P7" s="1"/>
      <c r="Q7" s="1"/>
      <c r="R7" s="1"/>
      <c r="S7" s="1"/>
      <c r="T7" s="1"/>
      <c r="U7" s="1"/>
      <c r="V7" s="1"/>
      <c r="W7" s="1"/>
      <c r="X7" s="1"/>
      <c r="Y7" s="1"/>
      <c r="Z7" s="1"/>
    </row>
    <row r="8" ht="15.0" customHeight="1">
      <c r="A8" s="1"/>
      <c r="B8" s="1"/>
      <c r="C8" s="1"/>
      <c r="D8" s="1"/>
      <c r="E8" s="1"/>
      <c r="F8" s="1"/>
      <c r="G8" s="1"/>
      <c r="H8" s="1"/>
      <c r="I8" s="1"/>
      <c r="J8" s="1"/>
      <c r="K8" s="1"/>
      <c r="L8" s="1"/>
      <c r="M8" s="1"/>
      <c r="N8" s="1"/>
      <c r="O8" s="1"/>
      <c r="P8" s="1"/>
      <c r="Q8" s="1"/>
      <c r="R8" s="1"/>
      <c r="S8" s="1"/>
      <c r="T8" s="1"/>
      <c r="U8" s="1"/>
      <c r="V8" s="1"/>
      <c r="W8" s="1"/>
      <c r="X8" s="1"/>
      <c r="Y8" s="1"/>
      <c r="Z8" s="1"/>
    </row>
    <row r="9" ht="15.0" customHeight="1">
      <c r="A9" s="1"/>
      <c r="B9" s="10" t="s">
        <v>120</v>
      </c>
      <c r="H9" s="1"/>
      <c r="I9" s="1"/>
      <c r="J9" s="1"/>
      <c r="K9" s="1"/>
      <c r="L9" s="1"/>
      <c r="M9" s="1"/>
      <c r="N9" s="1"/>
      <c r="O9" s="1"/>
      <c r="P9" s="1"/>
      <c r="Q9" s="1"/>
      <c r="R9" s="1"/>
      <c r="S9" s="1"/>
      <c r="T9" s="1"/>
      <c r="U9" s="1"/>
      <c r="V9" s="1"/>
      <c r="W9" s="1"/>
      <c r="X9" s="1"/>
      <c r="Y9" s="1"/>
      <c r="Z9" s="1"/>
    </row>
    <row r="10" ht="15.0" customHeight="1">
      <c r="A10" s="1"/>
      <c r="B10" s="79" t="s">
        <v>121</v>
      </c>
      <c r="C10" s="79" t="s">
        <v>122</v>
      </c>
      <c r="D10" s="79" t="s">
        <v>123</v>
      </c>
      <c r="E10" s="79" t="s">
        <v>124</v>
      </c>
      <c r="F10" s="79" t="s">
        <v>125</v>
      </c>
      <c r="G10" s="79" t="s">
        <v>126</v>
      </c>
      <c r="H10" s="1"/>
      <c r="I10" s="1"/>
      <c r="J10" s="1"/>
      <c r="K10" s="1"/>
      <c r="L10" s="1"/>
      <c r="M10" s="1"/>
      <c r="N10" s="1"/>
      <c r="O10" s="1"/>
      <c r="P10" s="1"/>
      <c r="Q10" s="1"/>
      <c r="R10" s="1"/>
      <c r="S10" s="1"/>
      <c r="T10" s="1"/>
      <c r="U10" s="1"/>
      <c r="V10" s="1"/>
      <c r="W10" s="1"/>
      <c r="X10" s="1"/>
      <c r="Y10" s="1"/>
      <c r="Z10" s="1"/>
    </row>
    <row r="11" ht="15.0" customHeight="1">
      <c r="A11" s="1"/>
      <c r="B11" s="81" t="s">
        <v>60</v>
      </c>
      <c r="C11" s="82">
        <f>SUMIFS('Budget Input'!$D$5:$D$39,'Budget Input'!$B$5:$B$39,"Expense",'Budget Input'!$C$5:$C$39,B11)</f>
        <v>1900</v>
      </c>
      <c r="D11" s="83">
        <f t="shared" ref="D11:D19" si="1">IFERROR(C11/$C$4,0)</f>
        <v>0.2714285714</v>
      </c>
      <c r="E11" s="84">
        <v>0.3</v>
      </c>
      <c r="F11" s="85" t="s">
        <v>127</v>
      </c>
      <c r="G11" s="87" t="str">
        <f t="shared" ref="G11:G19" si="2">IF(E11="","—",IF(F11="Max",IF(D11&lt;=E11,"OK - within recommended range","Above recommended - consider reducing"),IF(D11&gt;=E11,"OK - meeting target","Below recommended - consider increasing")))</f>
        <v>OK - within recommended range</v>
      </c>
      <c r="H11" s="1"/>
      <c r="I11" s="1"/>
      <c r="J11" s="1"/>
      <c r="K11" s="1"/>
      <c r="L11" s="1"/>
      <c r="M11" s="1"/>
      <c r="N11" s="1"/>
      <c r="O11" s="1"/>
      <c r="P11" s="1"/>
      <c r="Q11" s="1"/>
      <c r="R11" s="1"/>
      <c r="S11" s="1"/>
      <c r="T11" s="1"/>
      <c r="U11" s="1"/>
      <c r="V11" s="1"/>
      <c r="W11" s="1"/>
      <c r="X11" s="1"/>
      <c r="Y11" s="1"/>
      <c r="Z11" s="1"/>
    </row>
    <row r="12" ht="15.0" customHeight="1">
      <c r="A12" s="1"/>
      <c r="B12" s="81" t="s">
        <v>62</v>
      </c>
      <c r="C12" s="82">
        <f>SUMIFS('Budget Input'!$D$5:$D$39,'Budget Input'!$B$5:$B$39,"Expense",'Budget Input'!$C$5:$C$39,B12)</f>
        <v>300</v>
      </c>
      <c r="D12" s="83">
        <f t="shared" si="1"/>
        <v>0.04285714286</v>
      </c>
      <c r="E12" s="84">
        <v>0.15</v>
      </c>
      <c r="F12" s="85" t="s">
        <v>127</v>
      </c>
      <c r="G12" s="87" t="str">
        <f t="shared" si="2"/>
        <v>OK - within recommended range</v>
      </c>
      <c r="H12" s="1"/>
      <c r="I12" s="1"/>
      <c r="J12" s="1"/>
      <c r="K12" s="1"/>
      <c r="L12" s="1"/>
      <c r="M12" s="1"/>
      <c r="N12" s="1"/>
      <c r="O12" s="1"/>
      <c r="P12" s="1"/>
      <c r="Q12" s="1"/>
      <c r="R12" s="1"/>
      <c r="S12" s="1"/>
      <c r="T12" s="1"/>
      <c r="U12" s="1"/>
      <c r="V12" s="1"/>
      <c r="W12" s="1"/>
      <c r="X12" s="1"/>
      <c r="Y12" s="1"/>
      <c r="Z12" s="1"/>
    </row>
    <row r="13" ht="15.0" customHeight="1">
      <c r="A13" s="1"/>
      <c r="B13" s="81" t="s">
        <v>66</v>
      </c>
      <c r="C13" s="82">
        <f>SUMIFS('Budget Input'!$D$5:$D$39,'Budget Input'!$B$5:$B$39,"Expense",'Budget Input'!$C$5:$C$39,B13)</f>
        <v>300</v>
      </c>
      <c r="D13" s="83">
        <f t="shared" si="1"/>
        <v>0.04285714286</v>
      </c>
      <c r="E13" s="84">
        <v>0.15</v>
      </c>
      <c r="F13" s="85" t="s">
        <v>127</v>
      </c>
      <c r="G13" s="87" t="str">
        <f t="shared" si="2"/>
        <v>OK - within recommended range</v>
      </c>
      <c r="H13" s="1"/>
      <c r="I13" s="1"/>
      <c r="J13" s="1"/>
      <c r="K13" s="1"/>
      <c r="L13" s="1"/>
      <c r="M13" s="1"/>
      <c r="N13" s="1"/>
      <c r="O13" s="1"/>
      <c r="P13" s="1"/>
      <c r="Q13" s="1"/>
      <c r="R13" s="1"/>
      <c r="S13" s="1"/>
      <c r="T13" s="1"/>
      <c r="U13" s="1"/>
      <c r="V13" s="1"/>
      <c r="W13" s="1"/>
      <c r="X13" s="1"/>
      <c r="Y13" s="1"/>
      <c r="Z13" s="1"/>
    </row>
    <row r="14" ht="15.0" customHeight="1">
      <c r="A14" s="1"/>
      <c r="B14" s="81" t="s">
        <v>69</v>
      </c>
      <c r="C14" s="82">
        <f>SUMIFS('Budget Input'!$D$5:$D$39,'Budget Input'!$B$5:$B$39,"Expense",'Budget Input'!$C$5:$C$39,B14)</f>
        <v>400</v>
      </c>
      <c r="D14" s="83">
        <f t="shared" si="1"/>
        <v>0.05714285714</v>
      </c>
      <c r="E14" s="84">
        <v>0.1</v>
      </c>
      <c r="F14" s="85" t="s">
        <v>127</v>
      </c>
      <c r="G14" s="87" t="str">
        <f t="shared" si="2"/>
        <v>OK - within recommended range</v>
      </c>
      <c r="H14" s="1"/>
      <c r="I14" s="1"/>
      <c r="J14" s="1"/>
      <c r="K14" s="1"/>
      <c r="L14" s="1"/>
      <c r="M14" s="1"/>
      <c r="N14" s="1"/>
      <c r="O14" s="1"/>
      <c r="P14" s="1"/>
      <c r="Q14" s="1"/>
      <c r="R14" s="1"/>
      <c r="S14" s="1"/>
      <c r="T14" s="1"/>
      <c r="U14" s="1"/>
      <c r="V14" s="1"/>
      <c r="W14" s="1"/>
      <c r="X14" s="1"/>
      <c r="Y14" s="1"/>
      <c r="Z14" s="1"/>
    </row>
    <row r="15" ht="15.0" customHeight="1">
      <c r="A15" s="1"/>
      <c r="B15" s="81" t="s">
        <v>78</v>
      </c>
      <c r="C15" s="82">
        <f>SUMIFS('Budget Input'!$D$5:$D$39,'Budget Input'!$B$5:$B$39,"Expense",'Budget Input'!$C$5:$C$39,B15)</f>
        <v>250</v>
      </c>
      <c r="D15" s="83">
        <f t="shared" si="1"/>
        <v>0.03571428571</v>
      </c>
      <c r="E15" s="84">
        <v>0.1</v>
      </c>
      <c r="F15" s="85" t="s">
        <v>127</v>
      </c>
      <c r="G15" s="87" t="str">
        <f t="shared" si="2"/>
        <v>OK - within recommended range</v>
      </c>
      <c r="H15" s="1"/>
      <c r="I15" s="1"/>
      <c r="J15" s="1"/>
      <c r="K15" s="1"/>
      <c r="L15" s="1"/>
      <c r="M15" s="1"/>
      <c r="N15" s="1"/>
      <c r="O15" s="1"/>
      <c r="P15" s="1"/>
      <c r="Q15" s="1"/>
      <c r="R15" s="1"/>
      <c r="S15" s="1"/>
      <c r="T15" s="1"/>
      <c r="U15" s="1"/>
      <c r="V15" s="1"/>
      <c r="W15" s="1"/>
      <c r="X15" s="1"/>
      <c r="Y15" s="1"/>
      <c r="Z15" s="1"/>
    </row>
    <row r="16" ht="15.0" customHeight="1">
      <c r="A16" s="1"/>
      <c r="B16" s="81" t="s">
        <v>107</v>
      </c>
      <c r="C16" s="82">
        <f>SUMIFS('Budget Input'!$D$5:$D$39,'Budget Input'!$B$5:$B$39,"Expense",'Budget Input'!$C$5:$C$39,B16)</f>
        <v>350</v>
      </c>
      <c r="D16" s="83">
        <f t="shared" si="1"/>
        <v>0.05</v>
      </c>
      <c r="E16" s="84">
        <v>0.15</v>
      </c>
      <c r="F16" s="85" t="s">
        <v>127</v>
      </c>
      <c r="G16" s="87" t="str">
        <f t="shared" si="2"/>
        <v>OK - within recommended range</v>
      </c>
      <c r="H16" s="1"/>
      <c r="I16" s="1"/>
      <c r="J16" s="1"/>
      <c r="K16" s="1"/>
      <c r="L16" s="1"/>
      <c r="M16" s="1"/>
      <c r="N16" s="1"/>
      <c r="O16" s="1"/>
      <c r="P16" s="1"/>
      <c r="Q16" s="1"/>
      <c r="R16" s="1"/>
      <c r="S16" s="1"/>
      <c r="T16" s="1"/>
      <c r="U16" s="1"/>
      <c r="V16" s="1"/>
      <c r="W16" s="1"/>
      <c r="X16" s="1"/>
      <c r="Y16" s="1"/>
      <c r="Z16" s="1"/>
    </row>
    <row r="17" ht="15.0" customHeight="1">
      <c r="A17" s="1"/>
      <c r="B17" s="81" t="s">
        <v>99</v>
      </c>
      <c r="C17" s="82">
        <f>+'Budget Input'!I9</f>
        <v>20.33333333</v>
      </c>
      <c r="D17" s="83">
        <f t="shared" si="1"/>
        <v>0.002904761905</v>
      </c>
      <c r="E17" s="84">
        <v>0.05</v>
      </c>
      <c r="F17" s="85" t="s">
        <v>127</v>
      </c>
      <c r="G17" s="87" t="str">
        <f t="shared" si="2"/>
        <v>OK - within recommended range</v>
      </c>
      <c r="H17" s="1"/>
      <c r="I17" s="1"/>
      <c r="J17" s="1"/>
      <c r="K17" s="1"/>
      <c r="L17" s="1"/>
      <c r="M17" s="1"/>
      <c r="N17" s="1"/>
      <c r="O17" s="1"/>
      <c r="P17" s="1"/>
      <c r="Q17" s="1"/>
      <c r="R17" s="1"/>
      <c r="S17" s="1"/>
      <c r="T17" s="1"/>
      <c r="U17" s="1"/>
      <c r="V17" s="1"/>
      <c r="W17" s="1"/>
      <c r="X17" s="1"/>
      <c r="Y17" s="1"/>
      <c r="Z17" s="1"/>
    </row>
    <row r="18" ht="15.0" customHeight="1">
      <c r="A18" s="1"/>
      <c r="B18" s="81" t="s">
        <v>83</v>
      </c>
      <c r="C18" s="82">
        <f>SUMIFS('Budget Input'!$D$5:$D$39,'Budget Input'!$B$5:$B$39,"Expense",'Budget Input'!$C$5:$C$39,B18)</f>
        <v>100</v>
      </c>
      <c r="D18" s="83">
        <f t="shared" si="1"/>
        <v>0.01428571429</v>
      </c>
      <c r="E18" s="84">
        <v>0.1</v>
      </c>
      <c r="F18" s="85" t="s">
        <v>127</v>
      </c>
      <c r="G18" s="87" t="str">
        <f t="shared" si="2"/>
        <v>OK - within recommended range</v>
      </c>
      <c r="H18" s="1"/>
      <c r="I18" s="1"/>
      <c r="J18" s="1"/>
      <c r="K18" s="1"/>
      <c r="L18" s="1"/>
      <c r="M18" s="1"/>
      <c r="N18" s="1"/>
      <c r="O18" s="1"/>
      <c r="P18" s="1"/>
      <c r="Q18" s="1"/>
      <c r="R18" s="1"/>
      <c r="S18" s="1"/>
      <c r="T18" s="1"/>
      <c r="U18" s="1"/>
      <c r="V18" s="1"/>
      <c r="W18" s="1"/>
      <c r="X18" s="1"/>
      <c r="Y18" s="1"/>
      <c r="Z18" s="1"/>
    </row>
    <row r="19" ht="15.0" customHeight="1">
      <c r="A19" s="1"/>
      <c r="B19" s="81" t="s">
        <v>102</v>
      </c>
      <c r="C19" s="82">
        <f>SUMIFS('Budget Input'!$D$5:$D$39,'Budget Input'!$B$5:$B$39,"Expense",'Budget Input'!$C$5:$C$39,B19)</f>
        <v>0</v>
      </c>
      <c r="D19" s="83">
        <f t="shared" si="1"/>
        <v>0</v>
      </c>
      <c r="E19" s="84">
        <v>0.02</v>
      </c>
      <c r="F19" s="85" t="s">
        <v>127</v>
      </c>
      <c r="G19" s="87" t="str">
        <f t="shared" si="2"/>
        <v>OK - within recommended range</v>
      </c>
      <c r="H19" s="1"/>
      <c r="I19" s="1"/>
      <c r="J19" s="1"/>
      <c r="K19" s="1"/>
      <c r="L19" s="1"/>
      <c r="M19" s="1"/>
      <c r="N19" s="1"/>
      <c r="O19" s="1"/>
      <c r="P19" s="1"/>
      <c r="Q19" s="1"/>
      <c r="R19" s="1"/>
      <c r="S19" s="1"/>
      <c r="T19" s="1"/>
      <c r="U19" s="1"/>
      <c r="V19" s="1"/>
      <c r="W19" s="1"/>
      <c r="X19" s="1"/>
      <c r="Y19" s="1"/>
      <c r="Z19" s="1"/>
    </row>
    <row r="20"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0" t="s">
        <v>139</v>
      </c>
      <c r="H21" s="1"/>
      <c r="I21" s="1"/>
      <c r="J21" s="1"/>
      <c r="K21" s="1"/>
      <c r="L21" s="1"/>
      <c r="M21" s="1"/>
      <c r="N21" s="1"/>
      <c r="O21" s="1"/>
      <c r="P21" s="1"/>
      <c r="Q21" s="1"/>
      <c r="R21" s="1"/>
      <c r="S21" s="1"/>
      <c r="T21" s="1"/>
      <c r="U21" s="1"/>
      <c r="V21" s="1"/>
      <c r="W21" s="1"/>
      <c r="X21" s="1"/>
      <c r="Y21" s="1"/>
      <c r="Z21" s="1"/>
    </row>
    <row r="22" ht="15.75" customHeight="1">
      <c r="A22" s="1"/>
      <c r="B22" s="81" t="s">
        <v>140</v>
      </c>
      <c r="C22" s="95">
        <f>+'Budget Input'!I9</f>
        <v>20.33333333</v>
      </c>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81" t="s">
        <v>141</v>
      </c>
      <c r="C23" s="96">
        <f>C22*12</f>
        <v>244</v>
      </c>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97" t="s">
        <v>142</v>
      </c>
      <c r="C24" s="98">
        <f>COUNTIF('Budget Input'!F43:F67,"&gt;0")</f>
        <v>3</v>
      </c>
      <c r="D24" s="1"/>
      <c r="E24" s="1"/>
      <c r="F24" s="1"/>
      <c r="G24" s="1"/>
      <c r="H24" s="1"/>
      <c r="I24" s="1"/>
      <c r="J24" s="1"/>
      <c r="K24" s="1"/>
      <c r="L24" s="1"/>
      <c r="M24" s="1"/>
      <c r="N24" s="1"/>
      <c r="O24" s="1"/>
      <c r="P24" s="1"/>
      <c r="Q24" s="1"/>
      <c r="R24" s="1"/>
      <c r="S24" s="1"/>
      <c r="T24" s="1"/>
      <c r="U24" s="1"/>
      <c r="V24" s="1"/>
      <c r="W24" s="1"/>
      <c r="X24" s="1"/>
      <c r="Y24" s="1"/>
      <c r="Z24" s="1"/>
    </row>
    <row r="25" ht="30.0" customHeight="1">
      <c r="A25" s="1"/>
      <c r="B25" s="99" t="s">
        <v>143</v>
      </c>
      <c r="C25" s="100" t="str">
        <f>IF(C24&gt;8,"You have many active subscriptions - this is a great place to look for quick savings.",IF(C24&gt;4,"You have a moderate number of subscriptions - worth a periodic review.","Lean subscription list - nice work."))</f>
        <v>Lean subscription list - nice work.</v>
      </c>
      <c r="D25" s="65"/>
      <c r="E25" s="65"/>
      <c r="F25" s="65"/>
      <c r="G25" s="66"/>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0" t="s">
        <v>144</v>
      </c>
      <c r="H27" s="1"/>
      <c r="I27" s="1"/>
      <c r="J27" s="1"/>
      <c r="K27" s="1"/>
      <c r="L27" s="1"/>
      <c r="M27" s="1"/>
      <c r="N27" s="1"/>
      <c r="O27" s="1"/>
      <c r="P27" s="1"/>
      <c r="Q27" s="1"/>
      <c r="R27" s="1"/>
      <c r="S27" s="1"/>
      <c r="T27" s="1"/>
      <c r="U27" s="1"/>
      <c r="V27" s="1"/>
      <c r="W27" s="1"/>
      <c r="X27" s="1"/>
      <c r="Y27" s="1"/>
      <c r="Z27" s="1"/>
    </row>
    <row r="28" ht="30.0" customHeight="1">
      <c r="A28" s="1"/>
      <c r="B28" s="81" t="s">
        <v>145</v>
      </c>
      <c r="C28" s="101" t="str">
        <f>IF(C6&lt;0,"You are spending more than you earn. Consider reducing expenses or increasing income.",IF(IFERROR(C6/C4,0)&lt;0.1,"You have a small surplus. Building a bigger buffer could help with unexpected expenses.","Healthy surplus - you are earning more than you spend each month."))</f>
        <v>You have a small surplus. Building a bigger buffer could help with unexpected expenses.</v>
      </c>
      <c r="D28" s="102"/>
      <c r="E28" s="102"/>
      <c r="F28" s="102"/>
      <c r="G28" s="69"/>
      <c r="H28" s="1"/>
      <c r="I28" s="1"/>
      <c r="J28" s="1"/>
      <c r="K28" s="1"/>
      <c r="L28" s="1"/>
      <c r="M28" s="1"/>
      <c r="N28" s="1"/>
      <c r="O28" s="1"/>
      <c r="P28" s="1"/>
      <c r="Q28" s="1"/>
      <c r="R28" s="1"/>
      <c r="S28" s="1"/>
      <c r="T28" s="1"/>
      <c r="U28" s="1"/>
      <c r="V28" s="1"/>
      <c r="W28" s="1"/>
      <c r="X28" s="1"/>
      <c r="Y28" s="1"/>
      <c r="Z28" s="1"/>
    </row>
    <row r="29" ht="30.0" customHeight="1">
      <c r="A29" s="1"/>
      <c r="B29" s="81" t="s">
        <v>146</v>
      </c>
      <c r="C29" s="101" t="str">
        <f>IF(C7&gt;=0.2,"Great! You are investing 20% or more of your income, a widely recommended target.",IF(C7&gt;=0.1,"You are investing between 10-20% of your income. Consider increasing this over time.","You are investing less than 10% of your income. Consider prioritizing savings/investing if possible."))</f>
        <v>Great! You are investing 20% or more of your income, a widely recommended target.</v>
      </c>
      <c r="D29" s="102"/>
      <c r="E29" s="102"/>
      <c r="F29" s="102"/>
      <c r="G29" s="69"/>
      <c r="H29" s="1"/>
      <c r="I29" s="1"/>
      <c r="J29" s="103"/>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08" t="s">
        <v>148</v>
      </c>
      <c r="H31" s="1"/>
      <c r="I31" s="1"/>
      <c r="J31" s="1"/>
      <c r="K31" s="1"/>
      <c r="L31" s="1"/>
      <c r="M31" s="1"/>
      <c r="N31" s="1"/>
      <c r="O31" s="1"/>
      <c r="P31" s="1"/>
      <c r="Q31" s="1"/>
      <c r="R31" s="1"/>
      <c r="S31" s="1"/>
      <c r="T31" s="1"/>
      <c r="U31" s="1"/>
      <c r="V31" s="1"/>
      <c r="W31" s="1"/>
      <c r="X31" s="1"/>
      <c r="Y31" s="1"/>
      <c r="Z31" s="1"/>
    </row>
    <row r="32" ht="15.75" customHeight="1">
      <c r="A32" s="1"/>
      <c r="B32" s="109" t="s">
        <v>149</v>
      </c>
      <c r="C32" s="102"/>
      <c r="D32" s="102"/>
      <c r="E32" s="102"/>
      <c r="F32" s="102"/>
      <c r="G32" s="69"/>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B21:G21"/>
    <mergeCell ref="C25:G25"/>
    <mergeCell ref="B27:G27"/>
    <mergeCell ref="C28:G28"/>
    <mergeCell ref="C29:G29"/>
    <mergeCell ref="J29:O29"/>
    <mergeCell ref="B31:G31"/>
    <mergeCell ref="B32:G32"/>
    <mergeCell ref="B1:G1"/>
    <mergeCell ref="B3:G3"/>
    <mergeCell ref="C4:D4"/>
    <mergeCell ref="C5:D5"/>
    <mergeCell ref="C6:D6"/>
    <mergeCell ref="C7:D7"/>
    <mergeCell ref="B9:G9"/>
  </mergeCells>
  <conditionalFormatting sqref="C6:D6">
    <cfRule type="cellIs" dxfId="1" priority="1" operator="greaterThanOrEqual">
      <formula>0</formula>
    </cfRule>
  </conditionalFormatting>
  <conditionalFormatting sqref="C6:D6">
    <cfRule type="cellIs" dxfId="2" priority="2" operator="lessThan">
      <formula>0</formula>
    </cfRule>
  </conditionalFormatting>
  <conditionalFormatting sqref="D11:D19">
    <cfRule type="expression" dxfId="1" priority="3">
      <formula>AND($E11&lt;&gt;"",$F11="Max",$D11&lt;=$E11)</formula>
    </cfRule>
  </conditionalFormatting>
  <conditionalFormatting sqref="D11:D19">
    <cfRule type="expression" dxfId="2" priority="4">
      <formula>AND($E11&lt;&gt;"",$F11="Max",$D11&gt;$E11)</formula>
    </cfRule>
  </conditionalFormatting>
  <conditionalFormatting sqref="D11:D19">
    <cfRule type="expression" dxfId="1" priority="5">
      <formula>AND($E11&lt;&gt;"",$F11="Min",$D11&gt;=$E11)</formula>
    </cfRule>
  </conditionalFormatting>
  <conditionalFormatting sqref="D11:D19">
    <cfRule type="expression" dxfId="3" priority="6">
      <formula>AND($E11&lt;&gt;"",$F11="Min",$D11&lt;$E11)</formula>
    </cfRule>
  </conditionalFormatting>
  <dataValidations>
    <dataValidation type="list" allowBlank="1" sqref="F11:F19">
      <formula1>"Max,Min"</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pageSetUpPr/>
  </sheetPr>
  <sheetViews>
    <sheetView showGridLines="0" workbookViewId="0"/>
  </sheetViews>
  <sheetFormatPr customHeight="1" defaultColWidth="14.43" defaultRowHeight="15.0"/>
  <cols>
    <col customWidth="1" min="1" max="1" width="34.14"/>
    <col customWidth="1" min="2" max="2" width="62.0"/>
    <col customWidth="1" min="3" max="4" width="18.0"/>
    <col customWidth="1" hidden="1" min="5" max="6" width="8.71"/>
  </cols>
  <sheetData>
    <row r="1">
      <c r="A1" s="4" t="s">
        <v>2</v>
      </c>
      <c r="B1" s="1"/>
      <c r="C1" s="1"/>
      <c r="D1" s="1"/>
    </row>
    <row r="2">
      <c r="A2" s="6" t="s">
        <v>5</v>
      </c>
      <c r="B2" s="1"/>
      <c r="C2" s="1"/>
      <c r="D2" s="1"/>
    </row>
    <row r="3">
      <c r="A3" s="1"/>
      <c r="B3" s="1"/>
      <c r="C3" s="1"/>
      <c r="D3" s="1"/>
    </row>
    <row r="4">
      <c r="A4" s="7" t="s">
        <v>6</v>
      </c>
      <c r="B4" s="8" t="s">
        <v>7</v>
      </c>
      <c r="C4" s="1"/>
      <c r="D4" s="1"/>
    </row>
    <row r="5">
      <c r="A5" s="7" t="s">
        <v>8</v>
      </c>
      <c r="B5" s="8" t="s">
        <v>9</v>
      </c>
      <c r="C5" s="1"/>
      <c r="D5" s="1"/>
    </row>
    <row r="6">
      <c r="A6" s="7" t="s">
        <v>10</v>
      </c>
      <c r="B6" s="8" t="s">
        <v>11</v>
      </c>
      <c r="C6" s="1"/>
      <c r="D6" s="1"/>
    </row>
    <row r="7">
      <c r="A7" s="7" t="s">
        <v>12</v>
      </c>
      <c r="B7" s="8" t="s">
        <v>13</v>
      </c>
      <c r="C7" s="1"/>
      <c r="D7" s="1"/>
    </row>
    <row r="8">
      <c r="A8" s="7" t="s">
        <v>14</v>
      </c>
      <c r="B8" s="8" t="s">
        <v>15</v>
      </c>
      <c r="C8" s="1"/>
      <c r="D8" s="1"/>
    </row>
    <row r="9">
      <c r="A9" s="1"/>
      <c r="B9" s="1"/>
      <c r="C9" s="1"/>
      <c r="D9" s="1"/>
    </row>
    <row r="10">
      <c r="A10" s="1"/>
      <c r="B10" s="1"/>
      <c r="C10" s="1"/>
      <c r="D10" s="1"/>
    </row>
    <row r="11">
      <c r="A11" s="6" t="s">
        <v>16</v>
      </c>
      <c r="B11" s="1"/>
      <c r="C11" s="1"/>
      <c r="D11" s="1"/>
    </row>
    <row r="12" ht="78.0" customHeight="1">
      <c r="A12" s="9" t="s">
        <v>17</v>
      </c>
      <c r="B12" s="12" t="s">
        <v>18</v>
      </c>
      <c r="C12" s="15"/>
      <c r="D12" s="17"/>
    </row>
    <row r="13" ht="69.75" customHeight="1">
      <c r="A13" s="9" t="s">
        <v>29</v>
      </c>
      <c r="B13" s="12" t="s">
        <v>30</v>
      </c>
      <c r="C13" s="15"/>
      <c r="D13" s="17"/>
    </row>
    <row r="14" ht="69.75" customHeight="1">
      <c r="A14" s="9" t="s">
        <v>31</v>
      </c>
      <c r="B14" s="12" t="s">
        <v>32</v>
      </c>
      <c r="C14" s="15"/>
      <c r="D14" s="17"/>
    </row>
    <row r="15" ht="69.75" customHeight="1">
      <c r="A15" s="9" t="s">
        <v>34</v>
      </c>
      <c r="B15" s="12" t="s">
        <v>35</v>
      </c>
      <c r="C15" s="15"/>
      <c r="D15" s="17"/>
    </row>
    <row r="16" ht="69.75" customHeight="1">
      <c r="A16" s="9" t="s">
        <v>36</v>
      </c>
      <c r="B16" s="12" t="s">
        <v>37</v>
      </c>
      <c r="C16" s="15"/>
      <c r="D16" s="17"/>
    </row>
    <row r="17" ht="69.75" customHeight="1">
      <c r="A17" s="9" t="s">
        <v>38</v>
      </c>
      <c r="B17" s="12" t="s">
        <v>39</v>
      </c>
      <c r="C17" s="15"/>
      <c r="D17" s="17"/>
    </row>
    <row r="18" ht="69.75" customHeight="1">
      <c r="A18" s="9" t="s">
        <v>40</v>
      </c>
      <c r="B18" s="12" t="s">
        <v>41</v>
      </c>
      <c r="C18" s="15"/>
      <c r="D18" s="17"/>
    </row>
    <row r="19" ht="69.75" customHeight="1">
      <c r="A19" s="9" t="s">
        <v>44</v>
      </c>
      <c r="B19" s="12" t="s">
        <v>46</v>
      </c>
      <c r="C19" s="15"/>
      <c r="D19" s="17"/>
    </row>
    <row r="20" ht="69.75" customHeight="1">
      <c r="A20" s="9" t="s">
        <v>47</v>
      </c>
      <c r="B20" s="12" t="s">
        <v>48</v>
      </c>
      <c r="C20" s="15"/>
      <c r="D20" s="17"/>
    </row>
    <row r="21" ht="15.75" customHeight="1">
      <c r="A21" s="25"/>
      <c r="B21" s="1"/>
      <c r="C21" s="1"/>
      <c r="D21" s="1"/>
    </row>
    <row r="22" ht="15.75" customHeight="1">
      <c r="A22" s="9" t="s">
        <v>53</v>
      </c>
      <c r="B22" s="30" t="s">
        <v>54</v>
      </c>
      <c r="C22" s="15"/>
      <c r="D22" s="17"/>
    </row>
    <row r="23" ht="15.75" customHeight="1">
      <c r="A23" s="1"/>
      <c r="B23" s="1"/>
      <c r="C23" s="1"/>
      <c r="D23" s="1"/>
    </row>
    <row r="24" ht="54.75" customHeight="1">
      <c r="A24" s="33"/>
      <c r="B24" s="34"/>
    </row>
    <row r="25" ht="15.75" customHeight="1">
      <c r="A25" s="1"/>
      <c r="B25" s="1"/>
      <c r="C25" s="1"/>
      <c r="D25" s="1"/>
    </row>
    <row r="26" ht="15.75" customHeight="1">
      <c r="A26" s="1"/>
      <c r="B26" s="1"/>
      <c r="C26" s="1"/>
      <c r="D26" s="1"/>
    </row>
    <row r="27" ht="15.75" customHeight="1">
      <c r="A27" s="1"/>
      <c r="B27" s="1"/>
      <c r="C27" s="1"/>
      <c r="D27" s="1"/>
    </row>
    <row r="28" ht="15.75" customHeight="1">
      <c r="A28" s="1"/>
      <c r="B28" s="1"/>
      <c r="C28" s="1"/>
      <c r="D28" s="1"/>
    </row>
    <row r="29" ht="15.75" customHeight="1">
      <c r="A29" s="1"/>
      <c r="B29" s="1"/>
      <c r="C29" s="1"/>
      <c r="D29" s="1"/>
    </row>
    <row r="30" ht="15.75" customHeight="1">
      <c r="A30" s="1"/>
      <c r="B30" s="1"/>
      <c r="C30" s="1"/>
      <c r="D30" s="1"/>
    </row>
    <row r="31" ht="15.75" customHeight="1">
      <c r="A31" s="1"/>
      <c r="B31" s="1"/>
      <c r="C31" s="1"/>
      <c r="D31" s="1"/>
    </row>
    <row r="32" ht="15.75" customHeight="1">
      <c r="A32" s="1"/>
      <c r="B32" s="1"/>
      <c r="C32" s="1"/>
      <c r="D32" s="1"/>
    </row>
    <row r="33" ht="15.75" customHeight="1">
      <c r="A33" s="1"/>
      <c r="B33" s="1"/>
      <c r="C33" s="1"/>
      <c r="D33" s="1"/>
    </row>
    <row r="34" ht="15.75" customHeight="1">
      <c r="A34" s="1"/>
      <c r="B34" s="1"/>
      <c r="C34" s="1"/>
      <c r="D34" s="1"/>
    </row>
    <row r="35" ht="15.75" customHeight="1">
      <c r="A35" s="1"/>
      <c r="B35" s="1"/>
      <c r="C35" s="1"/>
      <c r="D35" s="1"/>
    </row>
    <row r="36" ht="15.75" customHeight="1">
      <c r="A36" s="1"/>
      <c r="B36" s="1"/>
      <c r="C36" s="1"/>
      <c r="D36" s="1"/>
    </row>
    <row r="37" ht="15.75" customHeight="1">
      <c r="A37" s="1"/>
      <c r="B37" s="1"/>
      <c r="C37" s="1"/>
      <c r="D37" s="1"/>
    </row>
    <row r="38" ht="15.75" customHeight="1">
      <c r="A38" s="1"/>
      <c r="B38" s="1"/>
      <c r="C38" s="1"/>
      <c r="D38" s="1"/>
    </row>
    <row r="39" ht="15.75" customHeight="1">
      <c r="A39" s="1"/>
      <c r="B39" s="1"/>
      <c r="C39" s="1"/>
      <c r="D39" s="1"/>
    </row>
    <row r="40" ht="15.75" customHeight="1">
      <c r="A40" s="1"/>
      <c r="B40" s="1"/>
      <c r="C40" s="1"/>
      <c r="D40" s="1"/>
    </row>
    <row r="41" ht="15.75" hidden="1" customHeight="1">
      <c r="A41" s="1"/>
      <c r="B41" s="1"/>
      <c r="C41" s="1"/>
      <c r="D41" s="1"/>
    </row>
    <row r="42" ht="15.75" hidden="1" customHeight="1">
      <c r="A42" s="1"/>
      <c r="B42" s="1"/>
      <c r="C42" s="1"/>
      <c r="D42" s="1"/>
    </row>
    <row r="43" ht="15.75" hidden="1" customHeight="1">
      <c r="A43" s="1"/>
      <c r="B43" s="1"/>
      <c r="C43" s="1"/>
      <c r="D43" s="1"/>
    </row>
    <row r="44" ht="15.75" hidden="1" customHeight="1">
      <c r="A44" s="1"/>
      <c r="B44" s="1"/>
      <c r="C44" s="1"/>
      <c r="D44" s="1"/>
    </row>
    <row r="45" ht="15.75" hidden="1" customHeight="1">
      <c r="A45" s="1"/>
      <c r="B45" s="1"/>
      <c r="C45" s="1"/>
      <c r="D45" s="1"/>
    </row>
    <row r="46" ht="15.75" hidden="1" customHeight="1">
      <c r="A46" s="1"/>
      <c r="B46" s="1"/>
      <c r="C46" s="1"/>
      <c r="D46" s="1"/>
    </row>
    <row r="47" ht="15.75" hidden="1" customHeight="1">
      <c r="A47" s="1"/>
      <c r="B47" s="1"/>
      <c r="C47" s="1"/>
      <c r="D47" s="1"/>
    </row>
    <row r="48" ht="15.75" hidden="1" customHeight="1">
      <c r="A48" s="1"/>
      <c r="B48" s="1"/>
      <c r="C48" s="1"/>
      <c r="D48" s="1"/>
    </row>
    <row r="49" ht="15.75" hidden="1" customHeight="1">
      <c r="A49" s="1"/>
      <c r="B49" s="1"/>
      <c r="C49" s="1"/>
      <c r="D49" s="1"/>
    </row>
    <row r="50" ht="15.75" hidden="1" customHeight="1">
      <c r="A50" s="1"/>
      <c r="B50" s="1"/>
      <c r="C50" s="1"/>
      <c r="D50" s="1"/>
    </row>
    <row r="51" ht="15.75" hidden="1" customHeight="1">
      <c r="A51" s="1"/>
      <c r="B51" s="1"/>
      <c r="C51" s="1"/>
      <c r="D51" s="1"/>
    </row>
    <row r="52" ht="15.75" hidden="1" customHeight="1">
      <c r="A52" s="1"/>
      <c r="B52" s="1"/>
      <c r="C52" s="1"/>
      <c r="D52" s="1"/>
    </row>
    <row r="53" ht="15.75" hidden="1" customHeight="1">
      <c r="A53" s="1"/>
      <c r="B53" s="1"/>
      <c r="C53" s="1"/>
      <c r="D53" s="1"/>
    </row>
    <row r="54" ht="15.75" hidden="1" customHeight="1">
      <c r="A54" s="1"/>
      <c r="B54" s="1"/>
      <c r="C54" s="1"/>
      <c r="D54" s="1"/>
    </row>
    <row r="55" ht="15.75" hidden="1" customHeight="1">
      <c r="A55" s="1"/>
      <c r="B55" s="1"/>
      <c r="C55" s="1"/>
      <c r="D55" s="1"/>
    </row>
    <row r="56" ht="15.75" hidden="1" customHeight="1">
      <c r="A56" s="1"/>
      <c r="B56" s="1"/>
      <c r="C56" s="1"/>
      <c r="D56" s="1"/>
    </row>
    <row r="57" ht="15.75" hidden="1" customHeight="1">
      <c r="A57" s="1"/>
      <c r="B57" s="1"/>
      <c r="C57" s="1"/>
      <c r="D57" s="1"/>
    </row>
    <row r="58" ht="15.75" hidden="1" customHeight="1">
      <c r="A58" s="1"/>
      <c r="B58" s="1"/>
      <c r="C58" s="1"/>
      <c r="D58" s="1"/>
    </row>
    <row r="59" ht="15.75" hidden="1" customHeight="1">
      <c r="A59" s="1"/>
      <c r="B59" s="1"/>
      <c r="C59" s="1"/>
      <c r="D59" s="1"/>
    </row>
    <row r="60" ht="15.75" hidden="1" customHeight="1">
      <c r="A60" s="1"/>
      <c r="B60" s="1"/>
      <c r="C60" s="1"/>
      <c r="D60" s="1"/>
    </row>
    <row r="61" ht="15.75" hidden="1" customHeight="1">
      <c r="A61" s="1"/>
      <c r="B61" s="1"/>
      <c r="C61" s="1"/>
      <c r="D61" s="1"/>
    </row>
    <row r="62" ht="15.75" hidden="1" customHeight="1">
      <c r="A62" s="1"/>
      <c r="B62" s="1"/>
      <c r="C62" s="1"/>
      <c r="D62" s="1"/>
    </row>
    <row r="63" ht="15.75" hidden="1" customHeight="1">
      <c r="A63" s="1"/>
      <c r="B63" s="1"/>
      <c r="C63" s="1"/>
      <c r="D63" s="1"/>
    </row>
    <row r="64" ht="15.75" hidden="1" customHeight="1">
      <c r="A64" s="1"/>
      <c r="B64" s="1"/>
      <c r="C64" s="1"/>
      <c r="D64" s="1"/>
    </row>
    <row r="65" ht="15.75" hidden="1" customHeight="1">
      <c r="A65" s="1"/>
      <c r="B65" s="1"/>
      <c r="C65" s="1"/>
      <c r="D65" s="1"/>
    </row>
    <row r="66" ht="15.75" hidden="1" customHeight="1">
      <c r="A66" s="1"/>
      <c r="B66" s="1"/>
      <c r="C66" s="1"/>
      <c r="D66" s="1"/>
    </row>
    <row r="67" ht="15.75" hidden="1" customHeight="1">
      <c r="A67" s="1"/>
      <c r="B67" s="1"/>
      <c r="C67" s="1"/>
      <c r="D67" s="1"/>
    </row>
    <row r="68" ht="15.75" hidden="1" customHeight="1">
      <c r="A68" s="1"/>
      <c r="B68" s="1"/>
      <c r="C68" s="1"/>
      <c r="D68" s="1"/>
    </row>
    <row r="69" ht="15.75" hidden="1" customHeight="1">
      <c r="A69" s="1"/>
      <c r="B69" s="1"/>
      <c r="C69" s="1"/>
      <c r="D69" s="1"/>
    </row>
    <row r="70" ht="15.75" hidden="1" customHeight="1">
      <c r="A70" s="1"/>
      <c r="B70" s="1"/>
      <c r="C70" s="1"/>
      <c r="D70" s="1"/>
    </row>
    <row r="71" ht="15.75" hidden="1" customHeight="1">
      <c r="A71" s="1"/>
      <c r="B71" s="1"/>
      <c r="C71" s="1"/>
      <c r="D71" s="1"/>
    </row>
    <row r="72" ht="15.75" hidden="1" customHeight="1">
      <c r="A72" s="1"/>
      <c r="B72" s="1"/>
      <c r="C72" s="1"/>
      <c r="D72" s="1"/>
    </row>
    <row r="73" ht="15.75" hidden="1" customHeight="1">
      <c r="A73" s="1"/>
      <c r="B73" s="1"/>
      <c r="C73" s="1"/>
      <c r="D73" s="1"/>
    </row>
    <row r="74" ht="15.75" hidden="1" customHeight="1">
      <c r="A74" s="1"/>
      <c r="B74" s="1"/>
      <c r="C74" s="1"/>
      <c r="D74" s="1"/>
    </row>
    <row r="75" ht="15.75" hidden="1" customHeight="1">
      <c r="A75" s="1"/>
      <c r="B75" s="1"/>
      <c r="C75" s="1"/>
      <c r="D75" s="1"/>
    </row>
    <row r="76" ht="15.75" hidden="1" customHeight="1">
      <c r="A76" s="1"/>
      <c r="B76" s="1"/>
      <c r="C76" s="1"/>
      <c r="D76" s="1"/>
    </row>
    <row r="77" ht="15.75" hidden="1" customHeight="1">
      <c r="A77" s="1"/>
      <c r="B77" s="1"/>
      <c r="C77" s="1"/>
      <c r="D77" s="1"/>
    </row>
    <row r="78" ht="15.75" hidden="1" customHeight="1">
      <c r="A78" s="1"/>
      <c r="B78" s="1"/>
      <c r="C78" s="1"/>
      <c r="D78" s="1"/>
    </row>
    <row r="79" ht="15.75" hidden="1" customHeight="1">
      <c r="A79" s="1"/>
      <c r="B79" s="1"/>
      <c r="C79" s="1"/>
      <c r="D79" s="1"/>
    </row>
    <row r="80" ht="15.75" hidden="1" customHeight="1">
      <c r="A80" s="1"/>
      <c r="B80" s="1"/>
      <c r="C80" s="1"/>
      <c r="D80" s="1"/>
    </row>
    <row r="81" ht="15.75" hidden="1" customHeight="1">
      <c r="A81" s="1"/>
      <c r="B81" s="1"/>
      <c r="C81" s="1"/>
      <c r="D81" s="1"/>
    </row>
    <row r="82" ht="15.75" hidden="1" customHeight="1">
      <c r="A82" s="1"/>
      <c r="B82" s="1"/>
      <c r="C82" s="1"/>
      <c r="D82" s="1"/>
    </row>
    <row r="83" ht="15.75" hidden="1" customHeight="1">
      <c r="A83" s="1"/>
      <c r="B83" s="1"/>
      <c r="C83" s="1"/>
      <c r="D83" s="1"/>
    </row>
    <row r="84" ht="15.75" hidden="1" customHeight="1">
      <c r="A84" s="1"/>
      <c r="B84" s="1"/>
      <c r="C84" s="1"/>
      <c r="D84" s="1"/>
    </row>
    <row r="85" ht="15.75" hidden="1" customHeight="1">
      <c r="A85" s="1"/>
      <c r="B85" s="1"/>
      <c r="C85" s="1"/>
      <c r="D85" s="1"/>
    </row>
    <row r="86" ht="15.75" hidden="1" customHeight="1">
      <c r="A86" s="1"/>
      <c r="B86" s="1"/>
      <c r="C86" s="1"/>
      <c r="D86" s="1"/>
    </row>
    <row r="87" ht="15.75" hidden="1" customHeight="1">
      <c r="A87" s="1"/>
      <c r="B87" s="1"/>
      <c r="C87" s="1"/>
      <c r="D87" s="1"/>
    </row>
    <row r="88" ht="15.75" hidden="1" customHeight="1">
      <c r="A88" s="1"/>
      <c r="B88" s="1"/>
      <c r="C88" s="1"/>
      <c r="D88" s="1"/>
    </row>
    <row r="89" ht="15.75" hidden="1" customHeight="1">
      <c r="A89" s="1"/>
      <c r="B89" s="1"/>
      <c r="C89" s="1"/>
      <c r="D89" s="1"/>
    </row>
    <row r="90" ht="15.75" hidden="1" customHeight="1">
      <c r="A90" s="1"/>
      <c r="B90" s="1"/>
      <c r="C90" s="1"/>
      <c r="D90" s="1"/>
    </row>
    <row r="91" ht="15.75" hidden="1" customHeight="1">
      <c r="A91" s="1"/>
      <c r="B91" s="1"/>
      <c r="C91" s="1"/>
      <c r="D91" s="1"/>
    </row>
    <row r="92" ht="15.75" hidden="1" customHeight="1">
      <c r="A92" s="1"/>
      <c r="B92" s="1"/>
      <c r="C92" s="1"/>
      <c r="D92" s="1"/>
    </row>
    <row r="93" ht="15.75" hidden="1" customHeight="1">
      <c r="A93" s="1"/>
      <c r="B93" s="1"/>
      <c r="C93" s="1"/>
      <c r="D93" s="1"/>
    </row>
    <row r="94" ht="15.75" hidden="1" customHeight="1">
      <c r="A94" s="1"/>
      <c r="B94" s="1"/>
      <c r="C94" s="1"/>
      <c r="D94" s="1"/>
    </row>
    <row r="95" ht="15.75" hidden="1" customHeight="1">
      <c r="A95" s="1"/>
      <c r="B95" s="1"/>
      <c r="C95" s="1"/>
      <c r="D95" s="1"/>
    </row>
    <row r="96" ht="15.75" hidden="1" customHeight="1">
      <c r="A96" s="1"/>
      <c r="B96" s="1"/>
      <c r="C96" s="1"/>
      <c r="D96" s="1"/>
    </row>
    <row r="97" ht="15.75" hidden="1" customHeight="1">
      <c r="A97" s="1"/>
      <c r="B97" s="1"/>
      <c r="C97" s="1"/>
      <c r="D97" s="1"/>
    </row>
    <row r="98" ht="15.75" hidden="1" customHeight="1">
      <c r="A98" s="1"/>
      <c r="B98" s="1"/>
      <c r="C98" s="1"/>
      <c r="D98" s="1"/>
    </row>
    <row r="99" ht="15.75" hidden="1" customHeight="1">
      <c r="A99" s="1"/>
      <c r="B99" s="1"/>
      <c r="C99" s="1"/>
      <c r="D99" s="1"/>
    </row>
    <row r="100" ht="15.75" hidden="1" customHeight="1">
      <c r="A100" s="1"/>
      <c r="B100" s="1"/>
      <c r="C100" s="1"/>
      <c r="D100" s="1"/>
    </row>
    <row r="101" ht="15.75" hidden="1" customHeight="1">
      <c r="A101" s="1"/>
      <c r="B101" s="1"/>
      <c r="C101" s="1"/>
      <c r="D101" s="1"/>
    </row>
    <row r="102" ht="15.75" hidden="1" customHeight="1">
      <c r="A102" s="1"/>
      <c r="B102" s="1"/>
      <c r="C102" s="1"/>
      <c r="D102" s="1"/>
    </row>
    <row r="103" ht="15.75" hidden="1" customHeight="1">
      <c r="A103" s="1"/>
      <c r="B103" s="1"/>
      <c r="C103" s="1"/>
      <c r="D103" s="1"/>
    </row>
    <row r="104" ht="15.75" hidden="1" customHeight="1">
      <c r="A104" s="1"/>
      <c r="B104" s="1"/>
      <c r="C104" s="1"/>
      <c r="D104" s="1"/>
    </row>
    <row r="105" ht="15.75" hidden="1" customHeight="1">
      <c r="A105" s="1"/>
      <c r="B105" s="1"/>
      <c r="C105" s="1"/>
      <c r="D105" s="1"/>
    </row>
    <row r="106" ht="15.75" hidden="1" customHeight="1">
      <c r="A106" s="1"/>
      <c r="B106" s="1"/>
      <c r="C106" s="1"/>
      <c r="D106" s="1"/>
    </row>
    <row r="107" ht="15.75" hidden="1" customHeight="1">
      <c r="A107" s="1"/>
      <c r="B107" s="1"/>
      <c r="C107" s="1"/>
      <c r="D107" s="1"/>
    </row>
    <row r="108" ht="15.75" hidden="1" customHeight="1">
      <c r="A108" s="1"/>
      <c r="B108" s="1"/>
      <c r="C108" s="1"/>
      <c r="D108" s="1"/>
    </row>
    <row r="109" ht="15.75" hidden="1" customHeight="1">
      <c r="A109" s="1"/>
      <c r="B109" s="1"/>
      <c r="C109" s="1"/>
      <c r="D109" s="1"/>
    </row>
    <row r="110" ht="15.75" hidden="1" customHeight="1">
      <c r="A110" s="1"/>
      <c r="B110" s="1"/>
      <c r="C110" s="1"/>
      <c r="D110" s="1"/>
    </row>
    <row r="111" ht="15.75" hidden="1" customHeight="1">
      <c r="A111" s="1"/>
      <c r="B111" s="1"/>
      <c r="C111" s="1"/>
      <c r="D111" s="1"/>
    </row>
    <row r="112" ht="15.75" hidden="1" customHeight="1">
      <c r="A112" s="1"/>
      <c r="B112" s="1"/>
      <c r="C112" s="1"/>
      <c r="D112" s="1"/>
    </row>
    <row r="113" ht="15.75" hidden="1" customHeight="1">
      <c r="A113" s="1"/>
      <c r="B113" s="1"/>
      <c r="C113" s="1"/>
      <c r="D113" s="1"/>
    </row>
    <row r="114" ht="15.75" hidden="1" customHeight="1">
      <c r="A114" s="1"/>
      <c r="B114" s="1"/>
      <c r="C114" s="1"/>
      <c r="D114" s="1"/>
    </row>
    <row r="115" ht="15.75" hidden="1" customHeight="1">
      <c r="A115" s="1"/>
      <c r="B115" s="1"/>
      <c r="C115" s="1"/>
      <c r="D115" s="1"/>
    </row>
    <row r="116" ht="15.75" hidden="1" customHeight="1">
      <c r="A116" s="1"/>
      <c r="B116" s="1"/>
      <c r="C116" s="1"/>
      <c r="D116" s="1"/>
    </row>
    <row r="117" ht="15.75" hidden="1" customHeight="1">
      <c r="A117" s="1"/>
      <c r="B117" s="1"/>
      <c r="C117" s="1"/>
      <c r="D117" s="1"/>
    </row>
    <row r="118" ht="15.75" hidden="1" customHeight="1">
      <c r="A118" s="1"/>
      <c r="B118" s="1"/>
      <c r="C118" s="1"/>
      <c r="D118" s="1"/>
    </row>
    <row r="119" ht="15.75" hidden="1" customHeight="1">
      <c r="A119" s="1"/>
      <c r="B119" s="1"/>
      <c r="C119" s="1"/>
      <c r="D119" s="1"/>
    </row>
    <row r="120" ht="15.75" hidden="1" customHeight="1">
      <c r="A120" s="1"/>
      <c r="B120" s="1"/>
      <c r="C120" s="1"/>
      <c r="D120" s="1"/>
    </row>
    <row r="121" ht="15.75" hidden="1" customHeight="1">
      <c r="A121" s="1"/>
      <c r="B121" s="1"/>
      <c r="C121" s="1"/>
      <c r="D121" s="1"/>
    </row>
    <row r="122" ht="15.75" hidden="1" customHeight="1">
      <c r="A122" s="1"/>
      <c r="B122" s="1"/>
      <c r="C122" s="1"/>
      <c r="D122" s="1"/>
    </row>
    <row r="123" ht="15.75" hidden="1" customHeight="1">
      <c r="A123" s="1"/>
      <c r="B123" s="1"/>
      <c r="C123" s="1"/>
      <c r="D123" s="1"/>
    </row>
    <row r="124" ht="15.75" hidden="1" customHeight="1">
      <c r="A124" s="1"/>
      <c r="B124" s="1"/>
      <c r="C124" s="1"/>
      <c r="D124" s="1"/>
    </row>
    <row r="125" ht="15.75" hidden="1" customHeight="1">
      <c r="A125" s="1"/>
      <c r="B125" s="1"/>
      <c r="C125" s="1"/>
      <c r="D125" s="1"/>
    </row>
    <row r="126" ht="15.75" hidden="1" customHeight="1">
      <c r="A126" s="1"/>
      <c r="B126" s="1"/>
      <c r="C126" s="1"/>
      <c r="D126" s="1"/>
    </row>
    <row r="127" ht="15.75" hidden="1" customHeight="1">
      <c r="A127" s="1"/>
      <c r="B127" s="1"/>
      <c r="C127" s="1"/>
      <c r="D127" s="1"/>
    </row>
    <row r="128" ht="15.75" hidden="1" customHeight="1">
      <c r="A128" s="1"/>
      <c r="B128" s="1"/>
      <c r="C128" s="1"/>
      <c r="D128" s="1"/>
    </row>
    <row r="129" ht="15.75" hidden="1" customHeight="1">
      <c r="A129" s="1"/>
      <c r="B129" s="1"/>
      <c r="C129" s="1"/>
      <c r="D129" s="1"/>
    </row>
    <row r="130" ht="15.75" hidden="1" customHeight="1">
      <c r="A130" s="1"/>
      <c r="B130" s="1"/>
      <c r="C130" s="1"/>
      <c r="D130" s="1"/>
    </row>
    <row r="131" ht="15.75" hidden="1" customHeight="1">
      <c r="A131" s="1"/>
      <c r="B131" s="1"/>
      <c r="C131" s="1"/>
      <c r="D131" s="1"/>
    </row>
    <row r="132" ht="15.75" hidden="1" customHeight="1">
      <c r="A132" s="1"/>
      <c r="B132" s="1"/>
      <c r="C132" s="1"/>
      <c r="D132" s="1"/>
    </row>
    <row r="133" ht="15.75" hidden="1" customHeight="1">
      <c r="A133" s="1"/>
      <c r="B133" s="1"/>
      <c r="C133" s="1"/>
      <c r="D133" s="1"/>
    </row>
    <row r="134" ht="15.75" hidden="1" customHeight="1">
      <c r="A134" s="1"/>
      <c r="B134" s="1"/>
      <c r="C134" s="1"/>
      <c r="D134" s="1"/>
    </row>
    <row r="135" ht="15.75" hidden="1" customHeight="1">
      <c r="A135" s="1"/>
      <c r="B135" s="1"/>
      <c r="C135" s="1"/>
      <c r="D135" s="1"/>
    </row>
    <row r="136" ht="15.75" hidden="1" customHeight="1">
      <c r="A136" s="1"/>
      <c r="B136" s="1"/>
      <c r="C136" s="1"/>
      <c r="D136" s="1"/>
    </row>
    <row r="137" ht="15.75" hidden="1" customHeight="1">
      <c r="A137" s="1"/>
      <c r="B137" s="1"/>
      <c r="C137" s="1"/>
      <c r="D137" s="1"/>
    </row>
    <row r="138" ht="15.75" hidden="1" customHeight="1">
      <c r="A138" s="1"/>
      <c r="B138" s="1"/>
      <c r="C138" s="1"/>
      <c r="D138" s="1"/>
    </row>
    <row r="139" ht="15.75" hidden="1" customHeight="1">
      <c r="A139" s="1"/>
      <c r="B139" s="1"/>
      <c r="C139" s="1"/>
      <c r="D139" s="1"/>
    </row>
    <row r="140" ht="15.75" hidden="1" customHeight="1">
      <c r="A140" s="1"/>
      <c r="B140" s="1"/>
      <c r="C140" s="1"/>
      <c r="D140" s="1"/>
    </row>
    <row r="141" ht="15.75" hidden="1" customHeight="1">
      <c r="A141" s="1"/>
      <c r="B141" s="1"/>
      <c r="C141" s="1"/>
      <c r="D141" s="1"/>
    </row>
    <row r="142" ht="15.75" hidden="1" customHeight="1">
      <c r="A142" s="1"/>
      <c r="B142" s="1"/>
      <c r="C142" s="1"/>
      <c r="D142" s="1"/>
    </row>
    <row r="143" ht="15.75" hidden="1" customHeight="1">
      <c r="A143" s="1"/>
      <c r="B143" s="1"/>
      <c r="C143" s="1"/>
      <c r="D143" s="1"/>
    </row>
    <row r="144" ht="15.75" hidden="1" customHeight="1">
      <c r="A144" s="1"/>
      <c r="B144" s="1"/>
      <c r="C144" s="1"/>
      <c r="D144" s="1"/>
    </row>
    <row r="145" ht="15.75" hidden="1" customHeight="1">
      <c r="A145" s="1"/>
      <c r="B145" s="1"/>
      <c r="C145" s="1"/>
      <c r="D145" s="1"/>
    </row>
    <row r="146" ht="15.75" hidden="1" customHeight="1">
      <c r="A146" s="1"/>
      <c r="B146" s="1"/>
      <c r="C146" s="1"/>
      <c r="D146" s="1"/>
    </row>
    <row r="147" ht="15.75" hidden="1" customHeight="1">
      <c r="A147" s="1"/>
      <c r="B147" s="1"/>
      <c r="C147" s="1"/>
      <c r="D147" s="1"/>
    </row>
    <row r="148" ht="15.75" hidden="1" customHeight="1">
      <c r="A148" s="1"/>
      <c r="B148" s="1"/>
      <c r="C148" s="1"/>
      <c r="D148" s="1"/>
    </row>
    <row r="149" ht="15.75" hidden="1" customHeight="1">
      <c r="A149" s="1"/>
      <c r="B149" s="1"/>
      <c r="C149" s="1"/>
      <c r="D149" s="1"/>
    </row>
    <row r="150" ht="15.75" hidden="1" customHeight="1">
      <c r="A150" s="1"/>
      <c r="B150" s="1"/>
      <c r="C150" s="1"/>
      <c r="D150" s="1"/>
    </row>
    <row r="151" ht="15.75" hidden="1" customHeight="1">
      <c r="A151" s="1"/>
      <c r="B151" s="1"/>
      <c r="C151" s="1"/>
      <c r="D151" s="1"/>
    </row>
    <row r="152" ht="15.75" hidden="1" customHeight="1">
      <c r="A152" s="1"/>
      <c r="B152" s="1"/>
      <c r="C152" s="1"/>
      <c r="D152" s="1"/>
    </row>
    <row r="153" ht="15.75" hidden="1" customHeight="1">
      <c r="A153" s="1"/>
      <c r="B153" s="1"/>
      <c r="C153" s="1"/>
      <c r="D153" s="1"/>
    </row>
    <row r="154" ht="15.75" hidden="1" customHeight="1">
      <c r="A154" s="1"/>
      <c r="B154" s="1"/>
      <c r="C154" s="1"/>
      <c r="D154" s="1"/>
    </row>
    <row r="155" ht="15.75" hidden="1" customHeight="1">
      <c r="A155" s="1"/>
      <c r="B155" s="1"/>
      <c r="C155" s="1"/>
      <c r="D155" s="1"/>
    </row>
    <row r="156" ht="15.75" hidden="1" customHeight="1">
      <c r="A156" s="1"/>
      <c r="B156" s="1"/>
      <c r="C156" s="1"/>
      <c r="D156" s="1"/>
    </row>
    <row r="157" ht="15.75" hidden="1" customHeight="1">
      <c r="A157" s="1"/>
      <c r="B157" s="1"/>
      <c r="C157" s="1"/>
      <c r="D157" s="1"/>
    </row>
    <row r="158" ht="15.75" hidden="1" customHeight="1">
      <c r="A158" s="1"/>
      <c r="B158" s="1"/>
      <c r="C158" s="1"/>
      <c r="D158" s="1"/>
    </row>
    <row r="159" ht="15.75" hidden="1" customHeight="1">
      <c r="A159" s="1"/>
      <c r="B159" s="1"/>
      <c r="C159" s="1"/>
      <c r="D159" s="1"/>
    </row>
    <row r="160" ht="15.75" hidden="1" customHeight="1">
      <c r="A160" s="1"/>
      <c r="B160" s="1"/>
      <c r="C160" s="1"/>
      <c r="D160" s="1"/>
    </row>
    <row r="161" ht="15.75" hidden="1" customHeight="1">
      <c r="A161" s="1"/>
      <c r="B161" s="1"/>
      <c r="C161" s="1"/>
      <c r="D161" s="1"/>
    </row>
    <row r="162" ht="15.75" hidden="1" customHeight="1">
      <c r="A162" s="1"/>
      <c r="B162" s="1"/>
      <c r="C162" s="1"/>
      <c r="D162" s="1"/>
    </row>
    <row r="163" ht="15.75" hidden="1" customHeight="1">
      <c r="A163" s="1"/>
      <c r="B163" s="1"/>
      <c r="C163" s="1"/>
      <c r="D163" s="1"/>
    </row>
    <row r="164" ht="15.75" hidden="1" customHeight="1">
      <c r="A164" s="1"/>
      <c r="B164" s="1"/>
      <c r="C164" s="1"/>
      <c r="D164" s="1"/>
    </row>
    <row r="165" ht="15.75" hidden="1" customHeight="1">
      <c r="A165" s="1"/>
      <c r="B165" s="1"/>
      <c r="C165" s="1"/>
      <c r="D165" s="1"/>
    </row>
    <row r="166" ht="15.75" hidden="1" customHeight="1">
      <c r="A166" s="1"/>
      <c r="B166" s="1"/>
      <c r="C166" s="1"/>
      <c r="D166" s="1"/>
    </row>
    <row r="167" ht="15.75" hidden="1" customHeight="1">
      <c r="A167" s="1"/>
      <c r="B167" s="1"/>
      <c r="C167" s="1"/>
      <c r="D167" s="1"/>
    </row>
    <row r="168" ht="15.75" hidden="1" customHeight="1">
      <c r="A168" s="1"/>
      <c r="B168" s="1"/>
      <c r="C168" s="1"/>
      <c r="D168" s="1"/>
    </row>
    <row r="169" ht="15.75" hidden="1" customHeight="1">
      <c r="A169" s="1"/>
      <c r="B169" s="1"/>
      <c r="C169" s="1"/>
      <c r="D169" s="1"/>
    </row>
    <row r="170" ht="15.75" hidden="1" customHeight="1">
      <c r="A170" s="1"/>
      <c r="B170" s="1"/>
      <c r="C170" s="1"/>
      <c r="D170" s="1"/>
    </row>
    <row r="171" ht="15.75" hidden="1" customHeight="1">
      <c r="A171" s="1"/>
      <c r="B171" s="1"/>
      <c r="C171" s="1"/>
      <c r="D171" s="1"/>
    </row>
    <row r="172" ht="15.75" hidden="1" customHeight="1">
      <c r="A172" s="1"/>
      <c r="B172" s="1"/>
      <c r="C172" s="1"/>
      <c r="D172" s="1"/>
    </row>
    <row r="173" ht="15.75" hidden="1" customHeight="1">
      <c r="A173" s="1"/>
      <c r="B173" s="1"/>
      <c r="C173" s="1"/>
      <c r="D173" s="1"/>
    </row>
    <row r="174" ht="15.75" hidden="1" customHeight="1">
      <c r="A174" s="1"/>
      <c r="B174" s="1"/>
      <c r="C174" s="1"/>
      <c r="D174" s="1"/>
    </row>
    <row r="175" ht="15.75" hidden="1" customHeight="1">
      <c r="A175" s="1"/>
      <c r="B175" s="1"/>
      <c r="C175" s="1"/>
      <c r="D175" s="1"/>
    </row>
    <row r="176" ht="15.75" hidden="1" customHeight="1">
      <c r="A176" s="1"/>
      <c r="B176" s="1"/>
      <c r="C176" s="1"/>
      <c r="D176" s="1"/>
    </row>
    <row r="177" ht="15.75" hidden="1" customHeight="1">
      <c r="A177" s="1"/>
      <c r="B177" s="1"/>
      <c r="C177" s="1"/>
      <c r="D177" s="1"/>
    </row>
    <row r="178" ht="15.75" hidden="1" customHeight="1">
      <c r="A178" s="1"/>
      <c r="B178" s="1"/>
      <c r="C178" s="1"/>
      <c r="D178" s="1"/>
    </row>
    <row r="179" ht="15.75" hidden="1" customHeight="1">
      <c r="A179" s="1"/>
      <c r="B179" s="1"/>
      <c r="C179" s="1"/>
      <c r="D179" s="1"/>
    </row>
    <row r="180" ht="15.75" hidden="1" customHeight="1">
      <c r="A180" s="1"/>
      <c r="B180" s="1"/>
      <c r="C180" s="1"/>
      <c r="D180" s="1"/>
    </row>
    <row r="181" ht="15.75" hidden="1" customHeight="1">
      <c r="A181" s="1"/>
      <c r="B181" s="1"/>
      <c r="C181" s="1"/>
      <c r="D181" s="1"/>
    </row>
    <row r="182" ht="15.75" hidden="1" customHeight="1">
      <c r="A182" s="1"/>
      <c r="B182" s="1"/>
      <c r="C182" s="1"/>
      <c r="D182" s="1"/>
    </row>
    <row r="183" ht="15.75" hidden="1" customHeight="1">
      <c r="A183" s="1"/>
      <c r="B183" s="1"/>
      <c r="C183" s="1"/>
      <c r="D183" s="1"/>
    </row>
    <row r="184" ht="15.75" hidden="1" customHeight="1">
      <c r="A184" s="1"/>
      <c r="B184" s="1"/>
      <c r="C184" s="1"/>
      <c r="D184" s="1"/>
    </row>
    <row r="185" ht="15.75" hidden="1" customHeight="1">
      <c r="A185" s="1"/>
      <c r="B185" s="1"/>
      <c r="C185" s="1"/>
      <c r="D185" s="1"/>
    </row>
    <row r="186" ht="15.75" hidden="1" customHeight="1">
      <c r="A186" s="1"/>
      <c r="B186" s="1"/>
      <c r="C186" s="1"/>
      <c r="D186" s="1"/>
    </row>
    <row r="187" ht="15.75" hidden="1" customHeight="1">
      <c r="A187" s="1"/>
      <c r="B187" s="1"/>
      <c r="C187" s="1"/>
      <c r="D187" s="1"/>
    </row>
    <row r="188" ht="15.75" hidden="1" customHeight="1">
      <c r="A188" s="1"/>
      <c r="B188" s="1"/>
      <c r="C188" s="1"/>
      <c r="D188" s="1"/>
    </row>
    <row r="189" ht="15.75" hidden="1" customHeight="1">
      <c r="A189" s="1"/>
      <c r="B189" s="1"/>
      <c r="C189" s="1"/>
      <c r="D189" s="1"/>
    </row>
    <row r="190" ht="15.75" hidden="1" customHeight="1">
      <c r="A190" s="1"/>
      <c r="B190" s="1"/>
      <c r="C190" s="1"/>
      <c r="D190" s="1"/>
    </row>
    <row r="191" ht="15.75" hidden="1" customHeight="1">
      <c r="A191" s="1"/>
      <c r="B191" s="1"/>
      <c r="C191" s="1"/>
      <c r="D191" s="1"/>
    </row>
    <row r="192" ht="15.75" hidden="1" customHeight="1">
      <c r="A192" s="1"/>
      <c r="B192" s="1"/>
      <c r="C192" s="1"/>
      <c r="D192" s="1"/>
    </row>
    <row r="193" ht="15.75" hidden="1" customHeight="1">
      <c r="A193" s="1"/>
      <c r="B193" s="1"/>
      <c r="C193" s="1"/>
      <c r="D193" s="1"/>
    </row>
    <row r="194" ht="15.75" hidden="1" customHeight="1">
      <c r="A194" s="1"/>
      <c r="B194" s="1"/>
      <c r="C194" s="1"/>
      <c r="D194" s="1"/>
    </row>
    <row r="195" ht="15.75" hidden="1" customHeight="1">
      <c r="A195" s="1"/>
      <c r="B195" s="1"/>
      <c r="C195" s="1"/>
      <c r="D195" s="1"/>
    </row>
    <row r="196" ht="15.75" hidden="1" customHeight="1">
      <c r="A196" s="1"/>
      <c r="B196" s="1"/>
      <c r="C196" s="1"/>
      <c r="D196" s="1"/>
    </row>
    <row r="197" ht="15.75" hidden="1" customHeight="1">
      <c r="A197" s="1"/>
      <c r="B197" s="1"/>
      <c r="C197" s="1"/>
      <c r="D197" s="1"/>
    </row>
    <row r="198" ht="15.75" hidden="1" customHeight="1">
      <c r="A198" s="1"/>
      <c r="B198" s="1"/>
      <c r="C198" s="1"/>
      <c r="D198" s="1"/>
    </row>
    <row r="199" ht="15.75" hidden="1" customHeight="1">
      <c r="A199" s="1"/>
      <c r="B199" s="1"/>
      <c r="C199" s="1"/>
      <c r="D199" s="1"/>
    </row>
    <row r="200" ht="15.75" hidden="1" customHeight="1">
      <c r="A200" s="1"/>
      <c r="B200" s="1"/>
      <c r="C200" s="1"/>
      <c r="D200" s="1"/>
    </row>
    <row r="201" ht="15.75" hidden="1" customHeight="1">
      <c r="A201" s="1"/>
      <c r="B201" s="1"/>
      <c r="C201" s="1"/>
      <c r="D201" s="1"/>
    </row>
    <row r="202" ht="15.75" hidden="1" customHeight="1">
      <c r="A202" s="1"/>
      <c r="B202" s="1"/>
      <c r="C202" s="1"/>
      <c r="D202" s="1"/>
    </row>
    <row r="203" ht="15.75" hidden="1" customHeight="1">
      <c r="A203" s="1"/>
      <c r="B203" s="1"/>
      <c r="C203" s="1"/>
      <c r="D203" s="1"/>
    </row>
    <row r="204" ht="15.75" hidden="1" customHeight="1">
      <c r="A204" s="1"/>
      <c r="B204" s="1"/>
      <c r="C204" s="1"/>
      <c r="D204" s="1"/>
    </row>
    <row r="205" ht="15.75" hidden="1" customHeight="1">
      <c r="A205" s="1"/>
      <c r="B205" s="1"/>
      <c r="C205" s="1"/>
      <c r="D205" s="1"/>
    </row>
    <row r="206" ht="15.75" hidden="1" customHeight="1">
      <c r="A206" s="1"/>
      <c r="B206" s="1"/>
      <c r="C206" s="1"/>
      <c r="D206" s="1"/>
    </row>
    <row r="207" ht="15.75" hidden="1" customHeight="1">
      <c r="A207" s="1"/>
      <c r="B207" s="1"/>
      <c r="C207" s="1"/>
      <c r="D207" s="1"/>
    </row>
    <row r="208" ht="15.75" hidden="1" customHeight="1">
      <c r="A208" s="1"/>
      <c r="B208" s="1"/>
      <c r="C208" s="1"/>
      <c r="D208" s="1"/>
    </row>
    <row r="209" ht="15.75" hidden="1" customHeight="1">
      <c r="A209" s="1"/>
      <c r="B209" s="1"/>
      <c r="C209" s="1"/>
      <c r="D209" s="1"/>
    </row>
    <row r="210" ht="15.75" hidden="1" customHeight="1">
      <c r="A210" s="1"/>
      <c r="B210" s="1"/>
      <c r="C210" s="1"/>
      <c r="D210" s="1"/>
    </row>
    <row r="211" ht="15.75" hidden="1" customHeight="1">
      <c r="A211" s="1"/>
      <c r="B211" s="1"/>
      <c r="C211" s="1"/>
      <c r="D211" s="1"/>
    </row>
    <row r="212" ht="15.75" hidden="1" customHeight="1">
      <c r="A212" s="1"/>
      <c r="B212" s="1"/>
      <c r="C212" s="1"/>
      <c r="D212" s="1"/>
    </row>
    <row r="213" ht="15.75" hidden="1" customHeight="1">
      <c r="A213" s="1"/>
      <c r="B213" s="1"/>
      <c r="C213" s="1"/>
      <c r="D213" s="1"/>
    </row>
    <row r="214" ht="15.75" hidden="1" customHeight="1">
      <c r="A214" s="1"/>
      <c r="B214" s="1"/>
      <c r="C214" s="1"/>
      <c r="D214" s="1"/>
    </row>
    <row r="215" ht="15.75" hidden="1" customHeight="1">
      <c r="A215" s="1"/>
      <c r="B215" s="1"/>
      <c r="C215" s="1"/>
      <c r="D215" s="1"/>
    </row>
    <row r="216" ht="15.75" hidden="1" customHeight="1">
      <c r="A216" s="1"/>
      <c r="B216" s="1"/>
      <c r="C216" s="1"/>
      <c r="D216" s="1"/>
    </row>
    <row r="217" ht="15.75" hidden="1" customHeight="1">
      <c r="A217" s="1"/>
      <c r="B217" s="1"/>
      <c r="C217" s="1"/>
      <c r="D217" s="1"/>
    </row>
    <row r="218" ht="15.75" hidden="1" customHeight="1">
      <c r="A218" s="1"/>
      <c r="B218" s="1"/>
      <c r="C218" s="1"/>
      <c r="D218" s="1"/>
    </row>
    <row r="219" ht="15.75" hidden="1" customHeight="1">
      <c r="A219" s="1"/>
      <c r="B219" s="1"/>
      <c r="C219" s="1"/>
      <c r="D219" s="1"/>
    </row>
    <row r="220" ht="15.75" hidden="1" customHeight="1">
      <c r="A220" s="1"/>
      <c r="B220" s="1"/>
      <c r="C220" s="1"/>
      <c r="D220" s="1"/>
    </row>
    <row r="221" ht="15.75" hidden="1" customHeight="1">
      <c r="A221" s="1"/>
      <c r="B221" s="1"/>
      <c r="C221" s="1"/>
      <c r="D221" s="1"/>
    </row>
    <row r="222" ht="15.75" hidden="1" customHeight="1">
      <c r="A222" s="1"/>
      <c r="B222" s="1"/>
      <c r="C222" s="1"/>
      <c r="D222" s="1"/>
    </row>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B19:D19"/>
    <mergeCell ref="B20:D20"/>
    <mergeCell ref="B22:D22"/>
    <mergeCell ref="B24:D24"/>
    <mergeCell ref="B12:D12"/>
    <mergeCell ref="B13:D13"/>
    <mergeCell ref="B14:D14"/>
    <mergeCell ref="B15:D15"/>
    <mergeCell ref="B16:D16"/>
    <mergeCell ref="B17:D17"/>
    <mergeCell ref="B18:D18"/>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8.71"/>
  </cols>
  <sheetData>
    <row r="1" ht="15.0" customHeight="1">
      <c r="A1" s="57" t="s">
        <v>43</v>
      </c>
      <c r="B1" s="57" t="s">
        <v>49</v>
      </c>
      <c r="C1" s="1"/>
      <c r="D1" s="57" t="s">
        <v>86</v>
      </c>
      <c r="E1" s="1"/>
      <c r="F1" s="57" t="s">
        <v>87</v>
      </c>
      <c r="G1" s="1"/>
      <c r="H1" s="1"/>
      <c r="I1" s="1"/>
      <c r="J1" s="1"/>
      <c r="K1" s="1"/>
      <c r="L1" s="1"/>
      <c r="M1" s="1"/>
      <c r="N1" s="1"/>
      <c r="O1" s="1"/>
      <c r="P1" s="1"/>
      <c r="Q1" s="1"/>
      <c r="R1" s="1"/>
      <c r="S1" s="1"/>
      <c r="T1" s="1"/>
      <c r="U1" s="1"/>
      <c r="V1" s="1"/>
      <c r="W1" s="1"/>
      <c r="X1" s="1"/>
      <c r="Y1" s="1"/>
      <c r="Z1" s="1"/>
    </row>
    <row r="2" ht="15.0" customHeight="1">
      <c r="A2" s="57" t="s">
        <v>59</v>
      </c>
      <c r="B2" s="57" t="s">
        <v>89</v>
      </c>
      <c r="C2" s="1"/>
      <c r="D2" s="57" t="s">
        <v>90</v>
      </c>
      <c r="E2" s="1"/>
      <c r="F2" s="57" t="s">
        <v>92</v>
      </c>
      <c r="G2" s="1"/>
      <c r="H2" s="1"/>
      <c r="I2" s="1"/>
      <c r="J2" s="1"/>
      <c r="K2" s="1"/>
      <c r="L2" s="1"/>
      <c r="M2" s="1"/>
      <c r="N2" s="1"/>
      <c r="O2" s="1"/>
      <c r="P2" s="1"/>
      <c r="Q2" s="1"/>
      <c r="R2" s="1"/>
      <c r="S2" s="1"/>
      <c r="T2" s="1"/>
      <c r="U2" s="1"/>
      <c r="V2" s="1"/>
      <c r="W2" s="1"/>
      <c r="X2" s="1"/>
      <c r="Y2" s="1"/>
      <c r="Z2" s="1"/>
    </row>
    <row r="3" ht="15.0" customHeight="1">
      <c r="A3" s="57" t="s">
        <v>94</v>
      </c>
      <c r="B3" s="57" t="s">
        <v>95</v>
      </c>
      <c r="C3" s="1"/>
      <c r="D3" s="1"/>
      <c r="E3" s="1"/>
      <c r="F3" s="1"/>
      <c r="G3" s="1"/>
      <c r="H3" s="1"/>
      <c r="I3" s="1"/>
      <c r="J3" s="1"/>
      <c r="K3" s="1"/>
      <c r="L3" s="1"/>
      <c r="M3" s="1"/>
      <c r="N3" s="1"/>
      <c r="O3" s="1"/>
      <c r="P3" s="1"/>
      <c r="Q3" s="1"/>
      <c r="R3" s="1"/>
      <c r="S3" s="1"/>
      <c r="T3" s="1"/>
      <c r="U3" s="1"/>
      <c r="V3" s="1"/>
      <c r="W3" s="1"/>
      <c r="X3" s="1"/>
      <c r="Y3" s="1"/>
      <c r="Z3" s="1"/>
    </row>
    <row r="4" ht="15.0" customHeight="1">
      <c r="A4" s="57" t="s">
        <v>96</v>
      </c>
      <c r="B4" s="57" t="s">
        <v>60</v>
      </c>
      <c r="C4" s="1"/>
      <c r="D4" s="1"/>
      <c r="E4" s="1"/>
      <c r="F4" s="1"/>
      <c r="G4" s="1"/>
      <c r="H4" s="1"/>
      <c r="I4" s="1"/>
      <c r="J4" s="1"/>
      <c r="K4" s="1"/>
      <c r="L4" s="1"/>
      <c r="M4" s="1"/>
      <c r="N4" s="1"/>
      <c r="O4" s="1"/>
      <c r="P4" s="1"/>
      <c r="Q4" s="1"/>
      <c r="R4" s="1"/>
      <c r="S4" s="1"/>
      <c r="T4" s="1"/>
      <c r="U4" s="1"/>
      <c r="V4" s="1"/>
      <c r="W4" s="1"/>
      <c r="X4" s="1"/>
      <c r="Y4" s="1"/>
      <c r="Z4" s="1"/>
    </row>
    <row r="5" ht="15.0" customHeight="1">
      <c r="A5" s="1"/>
      <c r="B5" s="57" t="s">
        <v>62</v>
      </c>
      <c r="C5" s="1"/>
      <c r="D5" s="1"/>
      <c r="E5" s="1"/>
      <c r="F5" s="1"/>
      <c r="G5" s="1"/>
      <c r="H5" s="1"/>
      <c r="I5" s="1"/>
      <c r="J5" s="1"/>
      <c r="K5" s="1"/>
      <c r="L5" s="1"/>
      <c r="M5" s="1"/>
      <c r="N5" s="1"/>
      <c r="O5" s="1"/>
      <c r="P5" s="1"/>
      <c r="Q5" s="1"/>
      <c r="R5" s="1"/>
      <c r="S5" s="1"/>
      <c r="T5" s="1"/>
      <c r="U5" s="1"/>
      <c r="V5" s="1"/>
      <c r="W5" s="1"/>
      <c r="X5" s="1"/>
      <c r="Y5" s="1"/>
      <c r="Z5" s="1"/>
    </row>
    <row r="6" ht="15.0" customHeight="1">
      <c r="A6" s="1"/>
      <c r="B6" s="57" t="s">
        <v>66</v>
      </c>
      <c r="C6" s="1"/>
      <c r="D6" s="1"/>
      <c r="E6" s="1"/>
      <c r="F6" s="1"/>
      <c r="G6" s="1"/>
      <c r="H6" s="1"/>
      <c r="I6" s="1"/>
      <c r="J6" s="1"/>
      <c r="K6" s="1"/>
      <c r="L6" s="1"/>
      <c r="M6" s="1"/>
      <c r="N6" s="1"/>
      <c r="O6" s="1"/>
      <c r="P6" s="1"/>
      <c r="Q6" s="1"/>
      <c r="R6" s="1"/>
      <c r="S6" s="1"/>
      <c r="T6" s="1"/>
      <c r="U6" s="1"/>
      <c r="V6" s="1"/>
      <c r="W6" s="1"/>
      <c r="X6" s="1"/>
      <c r="Y6" s="1"/>
      <c r="Z6" s="1"/>
    </row>
    <row r="7" ht="15.0" customHeight="1">
      <c r="A7" s="1"/>
      <c r="B7" s="57" t="s">
        <v>69</v>
      </c>
      <c r="C7" s="1"/>
      <c r="D7" s="1"/>
      <c r="E7" s="1"/>
      <c r="F7" s="1"/>
      <c r="G7" s="1"/>
      <c r="H7" s="1"/>
      <c r="I7" s="1"/>
      <c r="J7" s="1"/>
      <c r="K7" s="1"/>
      <c r="L7" s="1"/>
      <c r="M7" s="1"/>
      <c r="N7" s="1"/>
      <c r="O7" s="1"/>
      <c r="P7" s="1"/>
      <c r="Q7" s="1"/>
      <c r="R7" s="1"/>
      <c r="S7" s="1"/>
      <c r="T7" s="1"/>
      <c r="U7" s="1"/>
      <c r="V7" s="1"/>
      <c r="W7" s="1"/>
      <c r="X7" s="1"/>
      <c r="Y7" s="1"/>
      <c r="Z7" s="1"/>
    </row>
    <row r="8" ht="15.0" customHeight="1">
      <c r="A8" s="1"/>
      <c r="B8" s="57" t="s">
        <v>78</v>
      </c>
      <c r="C8" s="1"/>
      <c r="D8" s="1"/>
      <c r="E8" s="1"/>
      <c r="F8" s="1"/>
      <c r="G8" s="1"/>
      <c r="H8" s="1"/>
      <c r="I8" s="1"/>
      <c r="J8" s="1"/>
      <c r="K8" s="1"/>
      <c r="L8" s="1"/>
      <c r="M8" s="1"/>
      <c r="N8" s="1"/>
      <c r="O8" s="1"/>
      <c r="P8" s="1"/>
      <c r="Q8" s="1"/>
      <c r="R8" s="1"/>
      <c r="S8" s="1"/>
      <c r="T8" s="1"/>
      <c r="U8" s="1"/>
      <c r="V8" s="1"/>
      <c r="W8" s="1"/>
      <c r="X8" s="1"/>
      <c r="Y8" s="1"/>
      <c r="Z8" s="1"/>
    </row>
    <row r="9" ht="15.0" customHeight="1">
      <c r="A9" s="1"/>
      <c r="B9" s="57" t="s">
        <v>99</v>
      </c>
      <c r="C9" s="1"/>
      <c r="D9" s="1"/>
      <c r="E9" s="1"/>
      <c r="F9" s="1"/>
      <c r="G9" s="1"/>
      <c r="H9" s="1"/>
      <c r="I9" s="1"/>
      <c r="J9" s="1"/>
      <c r="K9" s="1"/>
      <c r="L9" s="1"/>
      <c r="M9" s="1"/>
      <c r="N9" s="1"/>
      <c r="O9" s="1"/>
      <c r="P9" s="1"/>
      <c r="Q9" s="1"/>
      <c r="R9" s="1"/>
      <c r="S9" s="1"/>
      <c r="T9" s="1"/>
      <c r="U9" s="1"/>
      <c r="V9" s="1"/>
      <c r="W9" s="1"/>
      <c r="X9" s="1"/>
      <c r="Y9" s="1"/>
      <c r="Z9" s="1"/>
    </row>
    <row r="10" ht="15.0" customHeight="1">
      <c r="A10" s="1"/>
      <c r="B10" s="57" t="s">
        <v>83</v>
      </c>
      <c r="C10" s="1"/>
      <c r="D10" s="1"/>
      <c r="E10" s="1"/>
      <c r="F10" s="1"/>
      <c r="G10" s="1"/>
      <c r="H10" s="1"/>
      <c r="I10" s="1"/>
      <c r="J10" s="1"/>
      <c r="K10" s="1"/>
      <c r="L10" s="1"/>
      <c r="M10" s="1"/>
      <c r="N10" s="1"/>
      <c r="O10" s="1"/>
      <c r="P10" s="1"/>
      <c r="Q10" s="1"/>
      <c r="R10" s="1"/>
      <c r="S10" s="1"/>
      <c r="T10" s="1"/>
      <c r="U10" s="1"/>
      <c r="V10" s="1"/>
      <c r="W10" s="1"/>
      <c r="X10" s="1"/>
      <c r="Y10" s="1"/>
      <c r="Z10" s="1"/>
    </row>
    <row r="11" ht="15.0" customHeight="1">
      <c r="A11" s="1"/>
      <c r="B11" s="57" t="s">
        <v>102</v>
      </c>
      <c r="C11" s="1"/>
      <c r="D11" s="1"/>
      <c r="E11" s="1"/>
      <c r="F11" s="1"/>
      <c r="G11" s="1"/>
      <c r="H11" s="1"/>
      <c r="I11" s="1"/>
      <c r="J11" s="1"/>
      <c r="K11" s="1"/>
      <c r="L11" s="1"/>
      <c r="M11" s="1"/>
      <c r="N11" s="1"/>
      <c r="O11" s="1"/>
      <c r="P11" s="1"/>
      <c r="Q11" s="1"/>
      <c r="R11" s="1"/>
      <c r="S11" s="1"/>
      <c r="T11" s="1"/>
      <c r="U11" s="1"/>
      <c r="V11" s="1"/>
      <c r="W11" s="1"/>
      <c r="X11" s="1"/>
      <c r="Y11" s="1"/>
      <c r="Z11" s="1"/>
    </row>
    <row r="12" ht="15.0" customHeight="1">
      <c r="A12" s="1"/>
      <c r="B12" s="57" t="s">
        <v>104</v>
      </c>
      <c r="C12" s="1"/>
      <c r="D12" s="1"/>
      <c r="E12" s="1"/>
      <c r="F12" s="1"/>
      <c r="G12" s="1"/>
      <c r="H12" s="1"/>
      <c r="I12" s="1"/>
      <c r="J12" s="1"/>
      <c r="K12" s="1"/>
      <c r="L12" s="1"/>
      <c r="M12" s="1"/>
      <c r="N12" s="1"/>
      <c r="O12" s="1"/>
      <c r="P12" s="1"/>
      <c r="Q12" s="1"/>
      <c r="R12" s="1"/>
      <c r="S12" s="1"/>
      <c r="T12" s="1"/>
      <c r="U12" s="1"/>
      <c r="V12" s="1"/>
      <c r="W12" s="1"/>
      <c r="X12" s="1"/>
      <c r="Y12" s="1"/>
      <c r="Z12" s="1"/>
    </row>
    <row r="13" ht="15.0" customHeight="1">
      <c r="A13" s="1"/>
      <c r="B13" s="57" t="s">
        <v>106</v>
      </c>
      <c r="C13" s="1"/>
      <c r="D13" s="1"/>
      <c r="E13" s="1"/>
      <c r="F13" s="1"/>
      <c r="G13" s="1"/>
      <c r="H13" s="1"/>
      <c r="I13" s="1"/>
      <c r="J13" s="1"/>
      <c r="K13" s="1"/>
      <c r="L13" s="1"/>
      <c r="M13" s="1"/>
      <c r="N13" s="1"/>
      <c r="O13" s="1"/>
      <c r="P13" s="1"/>
      <c r="Q13" s="1"/>
      <c r="R13" s="1"/>
      <c r="S13" s="1"/>
      <c r="T13" s="1"/>
      <c r="U13" s="1"/>
      <c r="V13" s="1"/>
      <c r="W13" s="1"/>
      <c r="X13" s="1"/>
      <c r="Y13" s="1"/>
      <c r="Z13" s="1"/>
    </row>
    <row r="14" ht="15.0" customHeight="1">
      <c r="A14" s="1"/>
      <c r="B14" s="57" t="s">
        <v>109</v>
      </c>
      <c r="C14" s="1"/>
      <c r="D14" s="1"/>
      <c r="E14" s="1"/>
      <c r="F14" s="1"/>
      <c r="G14" s="1"/>
      <c r="H14" s="1"/>
      <c r="I14" s="1"/>
      <c r="J14" s="1"/>
      <c r="K14" s="1"/>
      <c r="L14" s="1"/>
      <c r="M14" s="1"/>
      <c r="N14" s="1"/>
      <c r="O14" s="1"/>
      <c r="P14" s="1"/>
      <c r="Q14" s="1"/>
      <c r="R14" s="1"/>
      <c r="S14" s="1"/>
      <c r="T14" s="1"/>
      <c r="U14" s="1"/>
      <c r="V14" s="1"/>
      <c r="W14" s="1"/>
      <c r="X14" s="1"/>
      <c r="Y14" s="1"/>
      <c r="Z14" s="1"/>
    </row>
    <row r="15" ht="15.0" customHeight="1">
      <c r="A15" s="1"/>
      <c r="B15" s="57" t="s">
        <v>112</v>
      </c>
      <c r="C15" s="1"/>
      <c r="D15" s="1"/>
      <c r="E15" s="1"/>
      <c r="F15" s="1"/>
      <c r="G15" s="1"/>
      <c r="H15" s="1"/>
      <c r="I15" s="1"/>
      <c r="J15" s="1"/>
      <c r="K15" s="1"/>
      <c r="L15" s="1"/>
      <c r="M15" s="1"/>
      <c r="N15" s="1"/>
      <c r="O15" s="1"/>
      <c r="P15" s="1"/>
      <c r="Q15" s="1"/>
      <c r="R15" s="1"/>
      <c r="S15" s="1"/>
      <c r="T15" s="1"/>
      <c r="U15" s="1"/>
      <c r="V15" s="1"/>
      <c r="W15" s="1"/>
      <c r="X15" s="1"/>
      <c r="Y15" s="1"/>
      <c r="Z15" s="1"/>
    </row>
    <row r="16" ht="15.0" customHeight="1">
      <c r="A16" s="1"/>
      <c r="B16" s="57" t="s">
        <v>113</v>
      </c>
      <c r="C16" s="1"/>
      <c r="D16" s="1"/>
      <c r="E16" s="1"/>
      <c r="F16" s="1"/>
      <c r="G16" s="1"/>
      <c r="H16" s="1"/>
      <c r="I16" s="1"/>
      <c r="J16" s="1"/>
      <c r="K16" s="1"/>
      <c r="L16" s="1"/>
      <c r="M16" s="1"/>
      <c r="N16" s="1"/>
      <c r="O16" s="1"/>
      <c r="P16" s="1"/>
      <c r="Q16" s="1"/>
      <c r="R16" s="1"/>
      <c r="S16" s="1"/>
      <c r="T16" s="1"/>
      <c r="U16" s="1"/>
      <c r="V16" s="1"/>
      <c r="W16" s="1"/>
      <c r="X16" s="1"/>
      <c r="Y16" s="1"/>
      <c r="Z16" s="1"/>
    </row>
    <row r="17" ht="15.0" customHeight="1">
      <c r="A17" s="1"/>
      <c r="B17" s="57" t="s">
        <v>114</v>
      </c>
      <c r="C17" s="1"/>
      <c r="D17" s="1"/>
      <c r="E17" s="1"/>
      <c r="F17" s="1"/>
      <c r="G17" s="1"/>
      <c r="H17" s="1"/>
      <c r="I17" s="1"/>
      <c r="J17" s="1"/>
      <c r="K17" s="1"/>
      <c r="L17" s="1"/>
      <c r="M17" s="1"/>
      <c r="N17" s="1"/>
      <c r="O17" s="1"/>
      <c r="P17" s="1"/>
      <c r="Q17" s="1"/>
      <c r="R17" s="1"/>
      <c r="S17" s="1"/>
      <c r="T17" s="1"/>
      <c r="U17" s="1"/>
      <c r="V17" s="1"/>
      <c r="W17" s="1"/>
      <c r="X17" s="1"/>
      <c r="Y17" s="1"/>
      <c r="Z17" s="1"/>
    </row>
    <row r="18" ht="15.0" customHeight="1">
      <c r="A18" s="1"/>
      <c r="B18" s="57" t="s">
        <v>116</v>
      </c>
      <c r="C18" s="1"/>
      <c r="D18" s="1"/>
      <c r="E18" s="1"/>
      <c r="F18" s="1"/>
      <c r="G18" s="1"/>
      <c r="H18" s="1"/>
      <c r="I18" s="1"/>
      <c r="J18" s="1"/>
      <c r="K18" s="1"/>
      <c r="L18" s="1"/>
      <c r="M18" s="1"/>
      <c r="N18" s="1"/>
      <c r="O18" s="1"/>
      <c r="P18" s="1"/>
      <c r="Q18" s="1"/>
      <c r="R18" s="1"/>
      <c r="S18" s="1"/>
      <c r="T18" s="1"/>
      <c r="U18" s="1"/>
      <c r="V18" s="1"/>
      <c r="W18" s="1"/>
      <c r="X18" s="1"/>
      <c r="Y18" s="1"/>
      <c r="Z18" s="1"/>
    </row>
    <row r="19" ht="15.0" customHeight="1">
      <c r="A19" s="1"/>
      <c r="B19" s="57" t="s">
        <v>117</v>
      </c>
      <c r="C19" s="1"/>
      <c r="D19" s="1"/>
      <c r="E19" s="1"/>
      <c r="F19" s="1"/>
      <c r="G19" s="1"/>
      <c r="H19" s="1"/>
      <c r="I19" s="1"/>
      <c r="J19" s="1"/>
      <c r="K19" s="1"/>
      <c r="L19" s="1"/>
      <c r="M19" s="1"/>
      <c r="N19" s="1"/>
      <c r="O19" s="1"/>
      <c r="P19" s="1"/>
      <c r="Q19" s="1"/>
      <c r="R19" s="1"/>
      <c r="S19" s="1"/>
      <c r="T19" s="1"/>
      <c r="U19" s="1"/>
      <c r="V19" s="1"/>
      <c r="W19" s="1"/>
      <c r="X19" s="1"/>
      <c r="Y19" s="1"/>
      <c r="Z19" s="1"/>
    </row>
    <row r="20" ht="15.0" customHeight="1">
      <c r="A20" s="1"/>
      <c r="B20" s="57" t="s">
        <v>119</v>
      </c>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57" t="s">
        <v>118</v>
      </c>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57" t="s">
        <v>107</v>
      </c>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row>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